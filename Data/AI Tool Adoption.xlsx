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cloud-my.sharepoint.com/personal/lichen12_amd_com/Documents/"/>
    </mc:Choice>
  </mc:AlternateContent>
  <xr:revisionPtr revIDLastSave="758" documentId="8_{6B2FD880-159A-4049-B602-F05429A79F90}" xr6:coauthVersionLast="47" xr6:coauthVersionMax="47" xr10:uidLastSave="{69423EA8-B756-403D-96D6-8C6603151251}"/>
  <bookViews>
    <workbookView xWindow="-38510" yWindow="-1420" windowWidth="38620" windowHeight="21100" activeTab="2" xr2:uid="{F344A3DF-6285-4D29-A122-BD25216DCD25}"/>
  </bookViews>
  <sheets>
    <sheet name="AI Code" sheetId="1" r:id="rId1"/>
    <sheet name="NABU" sheetId="2" r:id="rId2"/>
    <sheet name="Microsoft Copilot" sheetId="3" r:id="rId3"/>
    <sheet name="Diagram" sheetId="5" r:id="rId4"/>
    <sheet name="Sheet4" sheetId="4" r:id="rId5"/>
    <sheet name="Raw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4" i="1"/>
  <c r="F23" i="1"/>
  <c r="F22" i="1"/>
  <c r="C23" i="5"/>
  <c r="B23" i="5"/>
  <c r="B22" i="5"/>
  <c r="C22" i="5"/>
  <c r="A23" i="5"/>
  <c r="A22" i="5"/>
  <c r="E38" i="3" a="1"/>
  <c r="E38" i="3" s="1"/>
  <c r="J38" i="3" s="1"/>
  <c r="F38" i="3" a="1"/>
  <c r="F38" i="3" s="1"/>
  <c r="G38" i="3" a="1"/>
  <c r="G38" i="3" s="1"/>
  <c r="H38" i="3" a="1"/>
  <c r="H38" i="3" s="1"/>
  <c r="K38" i="3" s="1"/>
  <c r="E39" i="3" a="1"/>
  <c r="E39" i="3" s="1"/>
  <c r="J39" i="3" s="1"/>
  <c r="F39" i="3" a="1"/>
  <c r="F39" i="3" s="1"/>
  <c r="G39" i="3" a="1"/>
  <c r="G39" i="3" s="1"/>
  <c r="I39" i="3" s="1"/>
  <c r="H39" i="3" a="1"/>
  <c r="H39" i="3" s="1"/>
  <c r="E40" i="3" a="1"/>
  <c r="E40" i="3" s="1"/>
  <c r="J40" i="3" s="1"/>
  <c r="F40" i="3" a="1"/>
  <c r="F40" i="3" s="1"/>
  <c r="G40" i="3" a="1"/>
  <c r="G40" i="3" s="1"/>
  <c r="H40" i="3" a="1"/>
  <c r="H40" i="3" s="1"/>
  <c r="K40" i="3" s="1"/>
  <c r="E41" i="3" a="1"/>
  <c r="E41" i="3" s="1"/>
  <c r="J41" i="3" s="1"/>
  <c r="F41" i="3" a="1"/>
  <c r="F41" i="3" s="1"/>
  <c r="G41" i="3" a="1"/>
  <c r="G41" i="3" s="1"/>
  <c r="I41" i="3" s="1"/>
  <c r="H41" i="3" a="1"/>
  <c r="H41" i="3" s="1"/>
  <c r="E42" i="3" a="1"/>
  <c r="E42" i="3" s="1"/>
  <c r="J42" i="3" s="1"/>
  <c r="F42" i="3" a="1"/>
  <c r="F42" i="3" s="1"/>
  <c r="G42" i="3" a="1"/>
  <c r="G42" i="3" s="1"/>
  <c r="I42" i="3" s="1"/>
  <c r="H42" i="3" a="1"/>
  <c r="H42" i="3" s="1"/>
  <c r="E43" i="3" a="1"/>
  <c r="E43" i="3" s="1"/>
  <c r="J43" i="3" s="1"/>
  <c r="F43" i="3" a="1"/>
  <c r="F43" i="3" s="1"/>
  <c r="G43" i="3" a="1"/>
  <c r="G43" i="3" s="1"/>
  <c r="I43" i="3" s="1"/>
  <c r="H43" i="3" a="1"/>
  <c r="H43" i="3" s="1"/>
  <c r="F37" i="3" a="1"/>
  <c r="F37" i="3" s="1"/>
  <c r="G37" i="3" a="1"/>
  <c r="G37" i="3" s="1"/>
  <c r="I37" i="3" s="1"/>
  <c r="H37" i="3" a="1"/>
  <c r="H37" i="3" s="1"/>
  <c r="E37" i="3" a="1"/>
  <c r="E37" i="3" s="1"/>
  <c r="J37" i="3" s="1"/>
  <c r="D44" i="3"/>
  <c r="F27" i="2"/>
  <c r="F26" i="2"/>
  <c r="F25" i="2"/>
  <c r="F24" i="2"/>
  <c r="F23" i="2"/>
  <c r="H23" i="2" s="1"/>
  <c r="F22" i="2"/>
  <c r="H22" i="2" s="1"/>
  <c r="F21" i="2"/>
  <c r="E26" i="2"/>
  <c r="E24" i="2"/>
  <c r="E23" i="2"/>
  <c r="G23" i="2" s="1"/>
  <c r="E22" i="2"/>
  <c r="G22" i="2" s="1"/>
  <c r="E27" i="2"/>
  <c r="D27" i="2"/>
  <c r="H26" i="2"/>
  <c r="G26" i="2"/>
  <c r="E25" i="2"/>
  <c r="D25" i="2"/>
  <c r="G24" i="2"/>
  <c r="E21" i="2"/>
  <c r="D21" i="2"/>
  <c r="F18" i="2"/>
  <c r="E18" i="2"/>
  <c r="D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E26" i="1"/>
  <c r="G26" i="1" s="1"/>
  <c r="E24" i="1"/>
  <c r="G24" i="1" s="1"/>
  <c r="E23" i="1"/>
  <c r="G23" i="1" s="1"/>
  <c r="E22" i="1"/>
  <c r="G22" i="1" s="1"/>
  <c r="F27" i="1"/>
  <c r="E27" i="1"/>
  <c r="D27" i="1"/>
  <c r="H26" i="1"/>
  <c r="F25" i="1"/>
  <c r="E25" i="1"/>
  <c r="D25" i="1"/>
  <c r="H24" i="1"/>
  <c r="H23" i="1"/>
  <c r="H22" i="1"/>
  <c r="F21" i="1"/>
  <c r="E21" i="1"/>
  <c r="D21" i="1"/>
  <c r="F18" i="1"/>
  <c r="E18" i="1"/>
  <c r="D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I55" i="3"/>
  <c r="I54" i="3"/>
  <c r="I53" i="3"/>
  <c r="I52" i="3"/>
  <c r="I51" i="3"/>
  <c r="I50" i="3"/>
  <c r="I49" i="3"/>
  <c r="F55" i="3"/>
  <c r="E55" i="3"/>
  <c r="F54" i="3"/>
  <c r="H54" i="3" s="1"/>
  <c r="E54" i="3"/>
  <c r="G54" i="3" s="1"/>
  <c r="F53" i="3"/>
  <c r="E53" i="3"/>
  <c r="F52" i="3"/>
  <c r="H52" i="3" s="1"/>
  <c r="E52" i="3"/>
  <c r="G52" i="3" s="1"/>
  <c r="F51" i="3"/>
  <c r="H51" i="3" s="1"/>
  <c r="E51" i="3"/>
  <c r="G51" i="3" s="1"/>
  <c r="F50" i="3"/>
  <c r="H50" i="3" s="1"/>
  <c r="E50" i="3"/>
  <c r="G50" i="3" s="1"/>
  <c r="F49" i="3"/>
  <c r="E49" i="3"/>
  <c r="E52" i="2"/>
  <c r="F52" i="2"/>
  <c r="D52" i="2"/>
  <c r="E50" i="2"/>
  <c r="F50" i="2"/>
  <c r="D50" i="2"/>
  <c r="E46" i="2"/>
  <c r="F46" i="2"/>
  <c r="D46" i="2"/>
  <c r="H51" i="2"/>
  <c r="G51" i="2"/>
  <c r="H49" i="2"/>
  <c r="G49" i="2"/>
  <c r="H48" i="2"/>
  <c r="G48" i="2"/>
  <c r="H47" i="2"/>
  <c r="G47" i="2"/>
  <c r="F43" i="2"/>
  <c r="E43" i="2"/>
  <c r="D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E52" i="1"/>
  <c r="F52" i="1"/>
  <c r="D52" i="1"/>
  <c r="F43" i="1"/>
  <c r="H42" i="1"/>
  <c r="E43" i="1"/>
  <c r="G42" i="1"/>
  <c r="H41" i="1"/>
  <c r="G41" i="1"/>
  <c r="D43" i="1"/>
  <c r="E50" i="1"/>
  <c r="F50" i="1"/>
  <c r="D50" i="1"/>
  <c r="E46" i="1"/>
  <c r="F46" i="1"/>
  <c r="D46" i="1"/>
  <c r="H51" i="1"/>
  <c r="G51" i="1"/>
  <c r="H49" i="1"/>
  <c r="G49" i="1"/>
  <c r="H48" i="1"/>
  <c r="G48" i="1"/>
  <c r="H47" i="1"/>
  <c r="G47" i="1"/>
  <c r="H33" i="1"/>
  <c r="H34" i="1"/>
  <c r="H35" i="1"/>
  <c r="H36" i="1"/>
  <c r="H37" i="1"/>
  <c r="H38" i="1"/>
  <c r="H39" i="1"/>
  <c r="H40" i="1"/>
  <c r="H32" i="1"/>
  <c r="G33" i="1"/>
  <c r="G34" i="1"/>
  <c r="G35" i="1"/>
  <c r="G36" i="1"/>
  <c r="G37" i="1"/>
  <c r="G38" i="1"/>
  <c r="G39" i="1"/>
  <c r="G40" i="1"/>
  <c r="G32" i="1"/>
  <c r="D28" i="1" l="1"/>
  <c r="K42" i="3"/>
  <c r="K37" i="3"/>
  <c r="G21" i="2"/>
  <c r="D28" i="2"/>
  <c r="G46" i="1"/>
  <c r="K41" i="3"/>
  <c r="K39" i="3"/>
  <c r="H52" i="2"/>
  <c r="H27" i="2"/>
  <c r="H25" i="1"/>
  <c r="G21" i="1"/>
  <c r="G27" i="1"/>
  <c r="H21" i="2"/>
  <c r="H25" i="2"/>
  <c r="G27" i="2"/>
  <c r="G18" i="2"/>
  <c r="H18" i="2"/>
  <c r="K43" i="3"/>
  <c r="H44" i="3"/>
  <c r="G44" i="3"/>
  <c r="K50" i="3"/>
  <c r="K53" i="3"/>
  <c r="K54" i="3"/>
  <c r="F44" i="3"/>
  <c r="I40" i="3"/>
  <c r="K55" i="3"/>
  <c r="K49" i="3"/>
  <c r="K51" i="3"/>
  <c r="K52" i="3"/>
  <c r="I38" i="3"/>
  <c r="E56" i="3"/>
  <c r="I56" i="3"/>
  <c r="F56" i="3"/>
  <c r="F28" i="2"/>
  <c r="H28" i="2" s="1"/>
  <c r="H24" i="2"/>
  <c r="E28" i="2"/>
  <c r="G28" i="2" s="1"/>
  <c r="G25" i="2"/>
  <c r="H18" i="1"/>
  <c r="E28" i="1"/>
  <c r="D53" i="1"/>
  <c r="F53" i="1"/>
  <c r="H53" i="1" s="1"/>
  <c r="G52" i="1"/>
  <c r="G18" i="1"/>
  <c r="F28" i="1"/>
  <c r="H28" i="1" s="1"/>
  <c r="G28" i="1"/>
  <c r="H21" i="1"/>
  <c r="H27" i="1"/>
  <c r="G25" i="1"/>
  <c r="E53" i="1"/>
  <c r="H52" i="1"/>
  <c r="H53" i="3"/>
  <c r="G53" i="3"/>
  <c r="G55" i="3"/>
  <c r="D56" i="3"/>
  <c r="H55" i="3"/>
  <c r="G49" i="3"/>
  <c r="H49" i="3"/>
  <c r="H50" i="2"/>
  <c r="G52" i="2"/>
  <c r="E53" i="2"/>
  <c r="G50" i="2"/>
  <c r="D53" i="2"/>
  <c r="H46" i="2"/>
  <c r="G46" i="2"/>
  <c r="F53" i="2"/>
  <c r="G43" i="2"/>
  <c r="H43" i="2"/>
  <c r="H50" i="1"/>
  <c r="G50" i="1"/>
  <c r="G43" i="1"/>
  <c r="H43" i="1"/>
  <c r="H46" i="1"/>
  <c r="G53" i="1" l="1"/>
  <c r="K44" i="3"/>
  <c r="K56" i="3"/>
  <c r="G56" i="3"/>
  <c r="H56" i="3"/>
  <c r="G53" i="2"/>
  <c r="H53" i="2"/>
  <c r="E44" i="3"/>
  <c r="I44" i="3" l="1"/>
  <c r="J4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<sst xmlns="http://schemas.openxmlformats.org/spreadsheetml/2006/main" count="636" uniqueCount="109">
  <si>
    <t>Leader</t>
  </si>
  <si>
    <t>Total</t>
  </si>
  <si>
    <t>AI Code Aoption</t>
  </si>
  <si>
    <t>AI Code Active</t>
  </si>
  <si>
    <t>Adoption Rate</t>
  </si>
  <si>
    <t>Active Rate</t>
  </si>
  <si>
    <t>Ang, Bense</t>
  </si>
  <si>
    <t>Chen, Fairy</t>
  </si>
  <si>
    <t>Fang, James</t>
  </si>
  <si>
    <t>Lu, Eagle</t>
  </si>
  <si>
    <t>Lu, Hansen</t>
  </si>
  <si>
    <t>Luo, Berlin</t>
  </si>
  <si>
    <t>Yan, Frank</t>
  </si>
  <si>
    <t>Zhang, Jia</t>
  </si>
  <si>
    <t>Zheng, Effie</t>
  </si>
  <si>
    <t>AI Code Tool = Github Copilot - SLAI.Cline - Cursor - CodeGen - SLAI.Genie</t>
  </si>
  <si>
    <t>Function</t>
  </si>
  <si>
    <t>Validation</t>
  </si>
  <si>
    <t>Platform Design</t>
  </si>
  <si>
    <t>Program Leadership</t>
  </si>
  <si>
    <t>Debug</t>
  </si>
  <si>
    <t>PPO</t>
  </si>
  <si>
    <t>Sustaining</t>
  </si>
  <si>
    <t>Data Source</t>
  </si>
  <si>
    <t>Li, Jessie</t>
  </si>
  <si>
    <t>Zheng, Ivan</t>
  </si>
  <si>
    <t>FW Dev</t>
  </si>
  <si>
    <t>Jessie/Ivan</t>
  </si>
  <si>
    <t>NABU adoption</t>
  </si>
  <si>
    <t>NABU active</t>
  </si>
  <si>
    <t>active = used NABU in last 7 days</t>
  </si>
  <si>
    <t>Organization</t>
  </si>
  <si>
    <t>Active Copilot users</t>
  </si>
  <si>
    <t>Average weekly actions performed</t>
  </si>
  <si>
    <t>Copilot licensed users</t>
  </si>
  <si>
    <t>Total actions performed</t>
  </si>
  <si>
    <t>CLIENT PM - MOBILE</t>
  </si>
  <si>
    <t>Sustaining Val&amp;Ops</t>
  </si>
  <si>
    <t>TEG Alliance - US</t>
  </si>
  <si>
    <t>Tech Docs - US</t>
  </si>
  <si>
    <t>Taipei SBIOS</t>
  </si>
  <si>
    <t>sys enablement&amp;dev</t>
  </si>
  <si>
    <t>Shanghai SBIOS</t>
  </si>
  <si>
    <t>SHA AGESA/BV&amp;Tools</t>
  </si>
  <si>
    <t>Program leadership</t>
  </si>
  <si>
    <t>PPA&amp;SPPE</t>
  </si>
  <si>
    <t>Platform Feature Val</t>
  </si>
  <si>
    <t>Memory</t>
  </si>
  <si>
    <t>LSE - Mobile US</t>
  </si>
  <si>
    <t>GFX Feature</t>
  </si>
  <si>
    <t>Customer Engineering</t>
  </si>
  <si>
    <t>Client ULP PPO TW</t>
  </si>
  <si>
    <t>client sys val</t>
  </si>
  <si>
    <t>Client Pwr Mem - US</t>
  </si>
  <si>
    <t>CGE Operations</t>
  </si>
  <si>
    <t>CGCE Architecture</t>
  </si>
  <si>
    <t>CE Eng Leadership</t>
  </si>
  <si>
    <t>Dec. 24 - Nov. 25</t>
  </si>
  <si>
    <t>Avg. Action Per User</t>
  </si>
  <si>
    <t>action = Teams meeting recap, meeting summarize,email coach, email draft, power point chat, word draft/re-write</t>
  </si>
  <si>
    <t>Row Labels</t>
  </si>
  <si>
    <t>(blank)</t>
  </si>
  <si>
    <t>Grand Total</t>
  </si>
  <si>
    <t>Sum of Copilot licensed users</t>
  </si>
  <si>
    <t>Sum of Active Copilot users</t>
  </si>
  <si>
    <t>Sum of Total</t>
  </si>
  <si>
    <t>Sum of Adoption Rate</t>
  </si>
  <si>
    <t>Sum of Active Rate</t>
  </si>
  <si>
    <t>Sum of Total actions performed</t>
  </si>
  <si>
    <t>Sum of Avg. Action Per User</t>
  </si>
  <si>
    <t>active = At least one use in one week</t>
  </si>
  <si>
    <t>Feb. 26</t>
  </si>
  <si>
    <t>Jan. 26</t>
  </si>
  <si>
    <t>ORGLEVEL3</t>
  </si>
  <si>
    <t>ORGLEVEL4</t>
  </si>
  <si>
    <t>ORGLEVEL5</t>
  </si>
  <si>
    <t>ORGLEVEL6</t>
  </si>
  <si>
    <t>HC</t>
  </si>
  <si>
    <t>Potential Users</t>
  </si>
  <si>
    <t>Total Unique Active Users</t>
  </si>
  <si>
    <t>Total Active Users</t>
  </si>
  <si>
    <t>Participation Unique %</t>
  </si>
  <si>
    <t>Participation %</t>
  </si>
  <si>
    <t>Total Unlicensed Users</t>
  </si>
  <si>
    <t>Total AI LoC</t>
  </si>
  <si>
    <t>Total LoC</t>
  </si>
  <si>
    <t>Total % AI LoC</t>
  </si>
  <si>
    <t>Huynh, Jack</t>
  </si>
  <si>
    <t>McKeone, Tom</t>
  </si>
  <si>
    <t>Brinkley, Jeff</t>
  </si>
  <si>
    <t>Dong, Shirley</t>
  </si>
  <si>
    <t>(Blank)</t>
  </si>
  <si>
    <t>Zhuang, Jeze</t>
  </si>
  <si>
    <t>CLIENT PWR MEM - US</t>
  </si>
  <si>
    <t>Client Sys Val</t>
  </si>
  <si>
    <t>CUSTOMER ENGINEERING</t>
  </si>
  <si>
    <t>GPU Sys Val</t>
  </si>
  <si>
    <t>IO Validation</t>
  </si>
  <si>
    <t>PCBCAD/COMP</t>
  </si>
  <si>
    <t>Platform Design PM</t>
  </si>
  <si>
    <t>PLATFORM FEATURE VAL</t>
  </si>
  <si>
    <t>Power&amp;Performance</t>
  </si>
  <si>
    <t>Sys Enablement&amp;Dev</t>
  </si>
  <si>
    <t>System Solution - US</t>
  </si>
  <si>
    <t>ThermMech</t>
  </si>
  <si>
    <t>Source</t>
  </si>
  <si>
    <t>NABU Adoption</t>
  </si>
  <si>
    <t>NABU Aactive</t>
  </si>
  <si>
    <t>AI Code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</si>
</sst>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5" formatCode="0.0%"/>
  </numFmts>
  <fonts count="8" x14ac:knownFonts="1">
    <font>
      <sz val="11"/>
      <color theme="1"/>
      <name val="Arial"/>
      <family val="2"/>
    </font>
    <font>
      <sz val="11"/>
      <name val="Arial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17" fontId="0" fillId="0" borderId="0" xfId="0" applyNumberFormat="1"/>
    <xf numFmtId="0" fontId="1" fillId="0" borderId="1" xfId="1" applyBorder="1"/>
    <xf numFmtId="1" fontId="1" fillId="0" borderId="0" xfId="1" applyNumberFormat="1"/>
    <xf numFmtId="164" fontId="1" fillId="0" borderId="0" xfId="1" applyNumberFormat="1"/>
    <xf numFmtId="1" fontId="0" fillId="0" borderId="0" xfId="0" applyNumberFormat="1"/>
    <xf numFmtId="0" fontId="2" fillId="0" borderId="0" xfId="0" applyFont="1"/>
    <xf numFmtId="17" fontId="2" fillId="0" borderId="0" xfId="0" applyNumberFormat="1" applyFont="1"/>
    <xf numFmtId="0" fontId="3" fillId="0" borderId="0" xfId="2"/>
    <xf numFmtId="0" fontId="4" fillId="0" borderId="1" xfId="1" applyFont="1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5" fillId="2" borderId="0" xfId="0" applyFont="1" applyFill="1"/>
    <xf numFmtId="0" fontId="0" fillId="2" borderId="0" xfId="0" applyFill="1"/>
    <xf numFmtId="17" fontId="5" fillId="2" borderId="0" xfId="0" applyNumberFormat="1" applyFont="1" applyFill="1"/>
    <xf numFmtId="165" fontId="0" fillId="0" borderId="0" xfId="4" applyNumberFormat="1" applyFont="1"/>
  </cellXfs>
  <cellStyles count="5">
    <cellStyle name="Hyperlink" xfId="2" builtinId="8"/>
    <cellStyle name="Normal" xfId="0" builtinId="0"/>
    <cellStyle name="Normal 2" xfId="1" xr:uid="{94193EBF-4CB9-4F91-93BF-8C1CA52EE3E0}"/>
    <cellStyle name="Normal 2 2" xfId="3" xr:uid="{D122475C-0C43-4086-B5B1-DC307F74D7A3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n, Li" refreshedDate="46049.369543749999" createdVersion="8" refreshedVersion="8" minRefreshableVersion="3" recordCount="8" xr:uid="{E72CE80E-79E7-4774-A663-A674DE427072}">
  <cacheSource type="worksheet">
    <worksheetSource ref="B48:K56" sheet="Microsoft Copilot"/>
  </cacheSource>
  <cacheFields count="9">
    <cacheField name="Function" numFmtId="0">
      <sharedItems containsBlank="1" count="8">
        <s v="Validation"/>
        <s v="Platform Design"/>
        <s v="Program Leadership"/>
        <s v="Debug"/>
        <s v="PPO"/>
        <s v="Sustaining"/>
        <s v="FW Dev"/>
        <m/>
      </sharedItems>
    </cacheField>
    <cacheField name="Leader" numFmtId="0">
      <sharedItems count="8">
        <s v="Ang, Bense"/>
        <s v="Chen, Fairy"/>
        <s v="Lu, Hansen"/>
        <s v="Yan, Frank"/>
        <s v="Zhang, Jia"/>
        <s v="Zheng, Effie"/>
        <s v="Jessie/Ivan"/>
        <s v="Total"/>
      </sharedItems>
    </cacheField>
    <cacheField name="Total" numFmtId="1">
      <sharedItems containsSemiMixedTypes="0" containsString="0" containsNumber="1" containsInteger="1" minValue="14" maxValue="617"/>
    </cacheField>
    <cacheField name="Copilot licensed users" numFmtId="1">
      <sharedItems containsSemiMixedTypes="0" containsString="0" containsNumber="1" containsInteger="1" minValue="5" maxValue="117"/>
    </cacheField>
    <cacheField name="Active Copilot users" numFmtId="1">
      <sharedItems containsSemiMixedTypes="0" containsString="0" containsNumber="1" containsInteger="1" minValue="3" maxValue="90"/>
    </cacheField>
    <cacheField name="Adoption Rate" numFmtId="164">
      <sharedItems containsSemiMixedTypes="0" containsString="0" containsNumber="1" minValue="6.25E-2" maxValue="0.9285714285714286"/>
    </cacheField>
    <cacheField name="Active Rate" numFmtId="164">
      <sharedItems containsSemiMixedTypes="0" containsString="0" containsNumber="1" minValue="0.05" maxValue="0.8571428571428571"/>
    </cacheField>
    <cacheField name="Total actions performed" numFmtId="1">
      <sharedItems containsSemiMixedTypes="0" containsString="0" containsNumber="1" containsInteger="1" minValue="748" maxValue="34316"/>
    </cacheField>
    <cacheField name="Avg. Action Per User" numFmtId="1">
      <sharedItems containsSemiMixedTypes="0" containsString="0" containsNumber="1" minValue="124.66666666666667" maxValue="940.166666666666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50"/>
    <n v="19"/>
    <n v="13"/>
    <n v="7.5999999999999998E-2"/>
    <n v="5.1999999999999998E-2"/>
    <n v="3866"/>
    <n v="297.38461538461536"/>
  </r>
  <r>
    <x v="1"/>
    <x v="1"/>
    <n v="80"/>
    <n v="10"/>
    <n v="4"/>
    <n v="0.125"/>
    <n v="0.05"/>
    <n v="2746"/>
    <n v="686.5"/>
  </r>
  <r>
    <x v="2"/>
    <x v="2"/>
    <n v="14"/>
    <n v="13"/>
    <n v="12"/>
    <n v="0.9285714285714286"/>
    <n v="0.8571428571428571"/>
    <n v="11282"/>
    <n v="940.16666666666663"/>
  </r>
  <r>
    <x v="3"/>
    <x v="3"/>
    <n v="83"/>
    <n v="46"/>
    <n v="38"/>
    <n v="0.55421686746987953"/>
    <n v="0.45783132530120479"/>
    <n v="10640"/>
    <n v="280"/>
  </r>
  <r>
    <x v="4"/>
    <x v="4"/>
    <n v="55"/>
    <n v="5"/>
    <n v="3"/>
    <n v="9.0909090909090912E-2"/>
    <n v="5.4545454545454543E-2"/>
    <n v="944"/>
    <n v="314.66666666666669"/>
  </r>
  <r>
    <x v="5"/>
    <x v="5"/>
    <n v="96"/>
    <n v="6"/>
    <n v="6"/>
    <n v="6.25E-2"/>
    <n v="6.25E-2"/>
    <n v="748"/>
    <n v="124.66666666666667"/>
  </r>
  <r>
    <x v="6"/>
    <x v="6"/>
    <n v="39"/>
    <n v="18"/>
    <n v="14"/>
    <n v="0.46153846153846156"/>
    <n v="0.35897435897435898"/>
    <n v="4090"/>
    <n v="292.14285714285717"/>
  </r>
  <r>
    <x v="7"/>
    <x v="7"/>
    <n v="617"/>
    <n v="117"/>
    <n v="90"/>
    <n v="0.18962722852512157"/>
    <n v="0.14586709886547811"/>
    <n v="34316"/>
    <n v="381.28888888888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B9F34-DE08-4863-B29A-0FB68AC320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12" firstHeaderRow="0" firstDataRow="1" firstDataCol="1"/>
  <pivotFields count="9">
    <pivotField axis="axisRow" showAll="0">
      <items count="9">
        <item x="3"/>
        <item x="6"/>
        <item x="1"/>
        <item x="4"/>
        <item x="2"/>
        <item x="5"/>
        <item x="0"/>
        <item x="7"/>
        <item t="default"/>
      </items>
    </pivotField>
    <pivotField showAll="0">
      <items count="9">
        <item x="0"/>
        <item x="1"/>
        <item x="6"/>
        <item x="2"/>
        <item x="7"/>
        <item x="3"/>
        <item x="4"/>
        <item x="5"/>
        <item t="default"/>
      </items>
    </pivotField>
    <pivotField dataField="1" numFmtId="1" showAll="0"/>
    <pivotField dataField="1" numFmtId="1" showAll="0"/>
    <pivotField dataField="1" numFmtId="1" showAll="0"/>
    <pivotField dataField="1" numFmtId="164" showAll="0"/>
    <pivotField dataField="1" numFmtId="164" showAll="0"/>
    <pivotField dataField="1" numFmtId="1" showAll="0"/>
    <pivotField dataField="1" numFmtI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" fld="2" baseField="0" baseItem="0" numFmtId="1"/>
    <dataField name="Sum of Copilot licensed users" fld="3" baseField="0" baseItem="0" numFmtId="1"/>
    <dataField name="Sum of Active Copilot users" fld="4" baseField="0" baseItem="0" numFmtId="1"/>
    <dataField name="Sum of Adoption Rate" fld="5" baseField="0" baseItem="0" numFmtId="164"/>
    <dataField name="Sum of Active Rate" fld="6" baseField="0" baseItem="0" numFmtId="164"/>
    <dataField name="Sum of Total actions performed" fld="7" baseField="0" baseItem="0" numFmtId="1"/>
    <dataField name="Sum of Avg. Action Per User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powerbi.com/groups/me/reports/c47acfc3-a459-4f81-881b-5edf28000aeb/e8ddd3833b5c0a8c01d8?ctid=3dd8961f-e488-4e60-8e11-a82d994e183d&amp;experience=power-b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me/reports/eac95870-ead1-4e66-9fbf-e8a1c24f039f/59632636ab36be900dfd?ctid=3dd8961f-e488-4e60-8e11-a82d994e183d&amp;experience=power-b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pp.powerbi.com/groups/me/apps/b2edb272-ede9-412b-b5d0-45ad3e7881e8/reports/954e5dac-8ec2-44a4-abbb-d3dd9515d3dd/ReportSection2f9c129b4f95a84babfe?experience=power-bi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260B-A21D-4E67-A6AC-B4D31BA42E29}">
  <dimension ref="A1:H53"/>
  <sheetViews>
    <sheetView workbookViewId="0">
      <selection activeCell="K37" sqref="K37"/>
    </sheetView>
  </sheetViews>
  <sheetFormatPr defaultRowHeight="13.5" x14ac:dyDescent="0.35"/>
  <cols>
    <col min="1" max="1" width="6.9375" bestFit="1" customWidth="1"/>
    <col min="2" max="2" width="19.3125" customWidth="1"/>
    <col min="3" max="3" width="13.9375" customWidth="1"/>
    <col min="4" max="4" width="5.75" bestFit="1" customWidth="1"/>
    <col min="5" max="5" width="16.8125" bestFit="1" customWidth="1"/>
    <col min="6" max="6" width="15.0625" bestFit="1" customWidth="1"/>
    <col min="7" max="7" width="14.75" bestFit="1" customWidth="1"/>
    <col min="8" max="8" width="11.75" bestFit="1" customWidth="1"/>
  </cols>
  <sheetData>
    <row r="1" spans="1:8" x14ac:dyDescent="0.35">
      <c r="B1" t="s">
        <v>15</v>
      </c>
    </row>
    <row r="2" spans="1:8" x14ac:dyDescent="0.35">
      <c r="B2" s="8" t="s">
        <v>23</v>
      </c>
    </row>
    <row r="5" spans="1:8" s="16" customFormat="1" ht="13.9" x14ac:dyDescent="0.4">
      <c r="A5" s="15" t="s">
        <v>71</v>
      </c>
      <c r="B5" s="15"/>
    </row>
    <row r="6" spans="1:8" x14ac:dyDescent="0.35">
      <c r="C6" s="1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</row>
    <row r="7" spans="1:8" x14ac:dyDescent="0.35">
      <c r="C7" s="2" t="s">
        <v>6</v>
      </c>
      <c r="D7" s="3">
        <v>99</v>
      </c>
      <c r="E7" s="3">
        <v>18</v>
      </c>
      <c r="F7" s="3">
        <v>13</v>
      </c>
      <c r="G7" s="4">
        <f>E7/D7</f>
        <v>0.18181818181818182</v>
      </c>
      <c r="H7" s="4">
        <f>F7/D7</f>
        <v>0.13131313131313133</v>
      </c>
    </row>
    <row r="8" spans="1:8" x14ac:dyDescent="0.35">
      <c r="C8" s="2" t="s">
        <v>7</v>
      </c>
      <c r="D8" s="3">
        <v>80</v>
      </c>
      <c r="E8" s="3">
        <v>12</v>
      </c>
      <c r="F8" s="3">
        <v>14</v>
      </c>
      <c r="G8" s="4">
        <f t="shared" ref="G8:G18" si="0">E8/D8</f>
        <v>0.15</v>
      </c>
      <c r="H8" s="4">
        <f t="shared" ref="H8:H18" si="1">F8/D8</f>
        <v>0.17499999999999999</v>
      </c>
    </row>
    <row r="9" spans="1:8" x14ac:dyDescent="0.35">
      <c r="C9" s="2" t="s">
        <v>8</v>
      </c>
      <c r="D9" s="3">
        <v>37</v>
      </c>
      <c r="E9" s="3">
        <v>13</v>
      </c>
      <c r="F9" s="3">
        <v>13</v>
      </c>
      <c r="G9" s="4">
        <f t="shared" si="0"/>
        <v>0.35135135135135137</v>
      </c>
      <c r="H9" s="4">
        <f t="shared" si="1"/>
        <v>0.35135135135135137</v>
      </c>
    </row>
    <row r="10" spans="1:8" x14ac:dyDescent="0.35">
      <c r="C10" s="2" t="s">
        <v>9</v>
      </c>
      <c r="D10" s="3">
        <v>57</v>
      </c>
      <c r="E10" s="3">
        <v>9</v>
      </c>
      <c r="F10" s="3">
        <v>3</v>
      </c>
      <c r="G10" s="4">
        <f t="shared" si="0"/>
        <v>0.15789473684210525</v>
      </c>
      <c r="H10" s="4">
        <f t="shared" si="1"/>
        <v>5.2631578947368418E-2</v>
      </c>
    </row>
    <row r="11" spans="1:8" x14ac:dyDescent="0.35">
      <c r="C11" s="2" t="s">
        <v>10</v>
      </c>
      <c r="D11" s="3">
        <v>14</v>
      </c>
      <c r="E11" s="3">
        <v>1</v>
      </c>
      <c r="F11" s="3">
        <v>1</v>
      </c>
      <c r="G11" s="4">
        <f t="shared" si="0"/>
        <v>7.1428571428571425E-2</v>
      </c>
      <c r="H11" s="4">
        <f t="shared" si="1"/>
        <v>7.1428571428571425E-2</v>
      </c>
    </row>
    <row r="12" spans="1:8" x14ac:dyDescent="0.35">
      <c r="C12" s="2" t="s">
        <v>11</v>
      </c>
      <c r="D12" s="3">
        <v>94</v>
      </c>
      <c r="E12" s="3">
        <v>44</v>
      </c>
      <c r="F12" s="3">
        <v>31</v>
      </c>
      <c r="G12" s="4">
        <f t="shared" si="0"/>
        <v>0.46808510638297873</v>
      </c>
      <c r="H12" s="4">
        <f t="shared" si="1"/>
        <v>0.32978723404255317</v>
      </c>
    </row>
    <row r="13" spans="1:8" x14ac:dyDescent="0.35">
      <c r="C13" s="2" t="s">
        <v>12</v>
      </c>
      <c r="D13" s="3">
        <v>83</v>
      </c>
      <c r="E13" s="3">
        <v>24</v>
      </c>
      <c r="F13" s="3">
        <v>21</v>
      </c>
      <c r="G13" s="4">
        <f t="shared" si="0"/>
        <v>0.28915662650602408</v>
      </c>
      <c r="H13" s="4">
        <f t="shared" si="1"/>
        <v>0.25301204819277107</v>
      </c>
    </row>
    <row r="14" spans="1:8" x14ac:dyDescent="0.35">
      <c r="C14" s="2" t="s">
        <v>13</v>
      </c>
      <c r="D14" s="3">
        <v>18</v>
      </c>
      <c r="E14" s="3">
        <v>9</v>
      </c>
      <c r="F14" s="3">
        <v>8</v>
      </c>
      <c r="G14" s="4">
        <f t="shared" si="0"/>
        <v>0.5</v>
      </c>
      <c r="H14" s="4">
        <f t="shared" si="1"/>
        <v>0.44444444444444442</v>
      </c>
    </row>
    <row r="15" spans="1:8" x14ac:dyDescent="0.35">
      <c r="C15" s="2" t="s">
        <v>14</v>
      </c>
      <c r="D15" s="3">
        <v>96</v>
      </c>
      <c r="E15" s="3">
        <v>9</v>
      </c>
      <c r="F15" s="3">
        <v>9</v>
      </c>
      <c r="G15" s="4">
        <f t="shared" si="0"/>
        <v>9.375E-2</v>
      </c>
      <c r="H15" s="4">
        <f t="shared" si="1"/>
        <v>9.375E-2</v>
      </c>
    </row>
    <row r="16" spans="1:8" x14ac:dyDescent="0.35">
      <c r="C16" s="9" t="s">
        <v>24</v>
      </c>
      <c r="D16" s="3">
        <v>16</v>
      </c>
      <c r="E16" s="3">
        <v>14</v>
      </c>
      <c r="F16" s="3">
        <v>14</v>
      </c>
      <c r="G16" s="4">
        <f t="shared" si="0"/>
        <v>0.875</v>
      </c>
      <c r="H16" s="4">
        <f t="shared" si="1"/>
        <v>0.875</v>
      </c>
    </row>
    <row r="17" spans="1:8" x14ac:dyDescent="0.35">
      <c r="C17" s="9" t="s">
        <v>25</v>
      </c>
      <c r="D17" s="3">
        <v>23</v>
      </c>
      <c r="E17" s="3">
        <v>12</v>
      </c>
      <c r="F17" s="3">
        <v>12</v>
      </c>
      <c r="G17" s="4">
        <f t="shared" si="0"/>
        <v>0.52173913043478259</v>
      </c>
      <c r="H17" s="4">
        <f t="shared" si="1"/>
        <v>0.52173913043478259</v>
      </c>
    </row>
    <row r="18" spans="1:8" x14ac:dyDescent="0.35">
      <c r="C18" s="2" t="s">
        <v>1</v>
      </c>
      <c r="D18" s="5">
        <f>SUM(D7:D17)</f>
        <v>617</v>
      </c>
      <c r="E18" s="5">
        <f>SUM(E7:E17)</f>
        <v>165</v>
      </c>
      <c r="F18" s="5">
        <f>SUM(F7:F17)</f>
        <v>139</v>
      </c>
      <c r="G18" s="4">
        <f t="shared" si="0"/>
        <v>0.26742301458670986</v>
      </c>
      <c r="H18" s="4">
        <f t="shared" si="1"/>
        <v>0.22528363047001621</v>
      </c>
    </row>
    <row r="20" spans="1:8" ht="15" x14ac:dyDescent="0.4">
      <c r="B20" s="6" t="s">
        <v>16</v>
      </c>
      <c r="C20" s="7" t="s">
        <v>0</v>
      </c>
      <c r="D20" s="6" t="s">
        <v>1</v>
      </c>
      <c r="E20" s="6" t="s">
        <v>2</v>
      </c>
      <c r="F20" s="6" t="s">
        <v>3</v>
      </c>
      <c r="G20" s="6" t="s">
        <v>4</v>
      </c>
      <c r="H20" s="6" t="s">
        <v>5</v>
      </c>
    </row>
    <row r="21" spans="1:8" x14ac:dyDescent="0.35">
      <c r="B21" t="s">
        <v>17</v>
      </c>
      <c r="C21" s="2" t="s">
        <v>6</v>
      </c>
      <c r="D21" s="3">
        <f>SUM(D7,D10,D12)</f>
        <v>250</v>
      </c>
      <c r="E21" s="3">
        <f>SUM(E7,E10,E12)</f>
        <v>71</v>
      </c>
      <c r="F21" s="3">
        <f>SUM(F7,F10,F12)</f>
        <v>47</v>
      </c>
      <c r="G21" s="4">
        <f>E21/D21</f>
        <v>0.28399999999999997</v>
      </c>
      <c r="H21" s="4">
        <f>F21/D21</f>
        <v>0.188</v>
      </c>
    </row>
    <row r="22" spans="1:8" x14ac:dyDescent="0.35">
      <c r="B22" t="s">
        <v>18</v>
      </c>
      <c r="C22" s="2" t="s">
        <v>7</v>
      </c>
      <c r="D22" s="3">
        <v>80</v>
      </c>
      <c r="E22" s="3">
        <f>E8</f>
        <v>12</v>
      </c>
      <c r="F22" s="3">
        <f>F8</f>
        <v>14</v>
      </c>
      <c r="G22" s="4">
        <f t="shared" ref="G22:G28" si="2">E22/D22</f>
        <v>0.15</v>
      </c>
      <c r="H22" s="4">
        <f t="shared" ref="H22:H28" si="3">F22/D22</f>
        <v>0.17499999999999999</v>
      </c>
    </row>
    <row r="23" spans="1:8" x14ac:dyDescent="0.35">
      <c r="B23" t="s">
        <v>19</v>
      </c>
      <c r="C23" s="2" t="s">
        <v>10</v>
      </c>
      <c r="D23" s="3">
        <v>14</v>
      </c>
      <c r="E23" s="3">
        <f>E11</f>
        <v>1</v>
      </c>
      <c r="F23" s="3">
        <f>F11</f>
        <v>1</v>
      </c>
      <c r="G23" s="4">
        <f t="shared" si="2"/>
        <v>7.1428571428571425E-2</v>
      </c>
      <c r="H23" s="4">
        <f t="shared" si="3"/>
        <v>7.1428571428571425E-2</v>
      </c>
    </row>
    <row r="24" spans="1:8" x14ac:dyDescent="0.35">
      <c r="B24" t="s">
        <v>20</v>
      </c>
      <c r="C24" s="2" t="s">
        <v>12</v>
      </c>
      <c r="D24" s="3">
        <v>83</v>
      </c>
      <c r="E24" s="3">
        <f>E13</f>
        <v>24</v>
      </c>
      <c r="F24" s="3">
        <f>F13</f>
        <v>21</v>
      </c>
      <c r="G24" s="4">
        <f t="shared" si="2"/>
        <v>0.28915662650602408</v>
      </c>
      <c r="H24" s="4">
        <f t="shared" si="3"/>
        <v>0.25301204819277107</v>
      </c>
    </row>
    <row r="25" spans="1:8" x14ac:dyDescent="0.35">
      <c r="B25" t="s">
        <v>21</v>
      </c>
      <c r="C25" s="2" t="s">
        <v>13</v>
      </c>
      <c r="D25" s="3">
        <f>SUM(D14,D9)</f>
        <v>55</v>
      </c>
      <c r="E25" s="3">
        <f>SUM(E14,E9)</f>
        <v>22</v>
      </c>
      <c r="F25" s="3">
        <f>SUM(F14,F9)</f>
        <v>21</v>
      </c>
      <c r="G25" s="4">
        <f t="shared" si="2"/>
        <v>0.4</v>
      </c>
      <c r="H25" s="4">
        <f t="shared" si="3"/>
        <v>0.38181818181818183</v>
      </c>
    </row>
    <row r="26" spans="1:8" x14ac:dyDescent="0.35">
      <c r="B26" t="s">
        <v>22</v>
      </c>
      <c r="C26" s="2" t="s">
        <v>14</v>
      </c>
      <c r="D26" s="3">
        <v>96</v>
      </c>
      <c r="E26" s="3">
        <f>F15</f>
        <v>9</v>
      </c>
      <c r="F26" s="3">
        <f>F15</f>
        <v>9</v>
      </c>
      <c r="G26" s="4">
        <f t="shared" si="2"/>
        <v>9.375E-2</v>
      </c>
      <c r="H26" s="4">
        <f t="shared" si="3"/>
        <v>9.375E-2</v>
      </c>
    </row>
    <row r="27" spans="1:8" x14ac:dyDescent="0.35">
      <c r="B27" t="s">
        <v>26</v>
      </c>
      <c r="C27" s="9" t="s">
        <v>27</v>
      </c>
      <c r="D27" s="3">
        <f>SUM(D16:D17)</f>
        <v>39</v>
      </c>
      <c r="E27" s="3">
        <f>SUM(E16:E17)</f>
        <v>26</v>
      </c>
      <c r="F27" s="3">
        <f>SUM(F16:F17)</f>
        <v>26</v>
      </c>
      <c r="G27" s="4">
        <f t="shared" si="2"/>
        <v>0.66666666666666663</v>
      </c>
      <c r="H27" s="4">
        <f t="shared" si="3"/>
        <v>0.66666666666666663</v>
      </c>
    </row>
    <row r="28" spans="1:8" x14ac:dyDescent="0.35">
      <c r="C28" s="2" t="s">
        <v>1</v>
      </c>
      <c r="D28" s="5">
        <f>SUM(D21:D27)</f>
        <v>617</v>
      </c>
      <c r="E28" s="5">
        <f t="shared" ref="E28:F28" si="4">SUM(E21:E27)</f>
        <v>165</v>
      </c>
      <c r="F28" s="5">
        <f t="shared" si="4"/>
        <v>139</v>
      </c>
      <c r="G28" s="4">
        <f t="shared" si="2"/>
        <v>0.26742301458670986</v>
      </c>
      <c r="H28" s="4">
        <f t="shared" si="3"/>
        <v>0.22528363047001621</v>
      </c>
    </row>
    <row r="30" spans="1:8" s="16" customFormat="1" ht="13.9" x14ac:dyDescent="0.4">
      <c r="A30" s="17" t="s">
        <v>72</v>
      </c>
      <c r="B30" s="17"/>
    </row>
    <row r="31" spans="1:8" x14ac:dyDescent="0.35">
      <c r="C31" s="1" t="s">
        <v>0</v>
      </c>
      <c r="D31" t="s">
        <v>1</v>
      </c>
      <c r="E31" t="s">
        <v>2</v>
      </c>
      <c r="F31" t="s">
        <v>3</v>
      </c>
      <c r="G31" t="s">
        <v>4</v>
      </c>
      <c r="H31" t="s">
        <v>5</v>
      </c>
    </row>
    <row r="32" spans="1:8" x14ac:dyDescent="0.35">
      <c r="C32" s="2" t="s">
        <v>6</v>
      </c>
      <c r="D32" s="3">
        <v>99</v>
      </c>
      <c r="E32" s="3">
        <v>13</v>
      </c>
      <c r="F32" s="3">
        <v>13</v>
      </c>
      <c r="G32" s="4">
        <f>E32/D32</f>
        <v>0.13131313131313133</v>
      </c>
      <c r="H32" s="4">
        <f>F32/D32</f>
        <v>0.13131313131313133</v>
      </c>
    </row>
    <row r="33" spans="2:8" x14ac:dyDescent="0.35">
      <c r="C33" s="2" t="s">
        <v>7</v>
      </c>
      <c r="D33" s="3">
        <v>80</v>
      </c>
      <c r="E33" s="3">
        <v>8</v>
      </c>
      <c r="F33" s="3">
        <v>8</v>
      </c>
      <c r="G33" s="4">
        <f t="shared" ref="G33:G43" si="5">E33/D33</f>
        <v>0.1</v>
      </c>
      <c r="H33" s="4">
        <f t="shared" ref="H33:H43" si="6">F33/D33</f>
        <v>0.1</v>
      </c>
    </row>
    <row r="34" spans="2:8" x14ac:dyDescent="0.35">
      <c r="C34" s="2" t="s">
        <v>8</v>
      </c>
      <c r="D34" s="3">
        <v>37</v>
      </c>
      <c r="E34" s="3">
        <v>13</v>
      </c>
      <c r="F34" s="3">
        <v>13</v>
      </c>
      <c r="G34" s="4">
        <f t="shared" si="5"/>
        <v>0.35135135135135137</v>
      </c>
      <c r="H34" s="4">
        <f t="shared" si="6"/>
        <v>0.35135135135135137</v>
      </c>
    </row>
    <row r="35" spans="2:8" x14ac:dyDescent="0.35">
      <c r="C35" s="2" t="s">
        <v>9</v>
      </c>
      <c r="D35" s="3">
        <v>57</v>
      </c>
      <c r="E35" s="3">
        <v>3</v>
      </c>
      <c r="F35" s="3">
        <v>3</v>
      </c>
      <c r="G35" s="4">
        <f t="shared" si="5"/>
        <v>5.2631578947368418E-2</v>
      </c>
      <c r="H35" s="4">
        <f t="shared" si="6"/>
        <v>5.2631578947368418E-2</v>
      </c>
    </row>
    <row r="36" spans="2:8" x14ac:dyDescent="0.35">
      <c r="C36" s="2" t="s">
        <v>10</v>
      </c>
      <c r="D36" s="3">
        <v>14</v>
      </c>
      <c r="E36" s="3">
        <v>1</v>
      </c>
      <c r="F36" s="3">
        <v>1</v>
      </c>
      <c r="G36" s="4">
        <f t="shared" si="5"/>
        <v>7.1428571428571425E-2</v>
      </c>
      <c r="H36" s="4">
        <f t="shared" si="6"/>
        <v>7.1428571428571425E-2</v>
      </c>
    </row>
    <row r="37" spans="2:8" x14ac:dyDescent="0.35">
      <c r="C37" s="2" t="s">
        <v>11</v>
      </c>
      <c r="D37" s="3">
        <v>94</v>
      </c>
      <c r="E37" s="3">
        <v>31</v>
      </c>
      <c r="F37" s="3">
        <v>31</v>
      </c>
      <c r="G37" s="4">
        <f t="shared" si="5"/>
        <v>0.32978723404255317</v>
      </c>
      <c r="H37" s="4">
        <f t="shared" si="6"/>
        <v>0.32978723404255317</v>
      </c>
    </row>
    <row r="38" spans="2:8" x14ac:dyDescent="0.35">
      <c r="C38" s="2" t="s">
        <v>12</v>
      </c>
      <c r="D38" s="3">
        <v>83</v>
      </c>
      <c r="E38" s="3">
        <v>21</v>
      </c>
      <c r="F38" s="3">
        <v>21</v>
      </c>
      <c r="G38" s="4">
        <f t="shared" si="5"/>
        <v>0.25301204819277107</v>
      </c>
      <c r="H38" s="4">
        <f t="shared" si="6"/>
        <v>0.25301204819277107</v>
      </c>
    </row>
    <row r="39" spans="2:8" x14ac:dyDescent="0.35">
      <c r="C39" s="2" t="s">
        <v>13</v>
      </c>
      <c r="D39" s="3">
        <v>18</v>
      </c>
      <c r="E39" s="3">
        <v>8</v>
      </c>
      <c r="F39" s="3">
        <v>8</v>
      </c>
      <c r="G39" s="4">
        <f t="shared" si="5"/>
        <v>0.44444444444444442</v>
      </c>
      <c r="H39" s="4">
        <f t="shared" si="6"/>
        <v>0.44444444444444442</v>
      </c>
    </row>
    <row r="40" spans="2:8" x14ac:dyDescent="0.35">
      <c r="C40" s="2" t="s">
        <v>14</v>
      </c>
      <c r="D40" s="3">
        <v>96</v>
      </c>
      <c r="E40" s="3">
        <v>9</v>
      </c>
      <c r="F40" s="3">
        <v>9</v>
      </c>
      <c r="G40" s="4">
        <f t="shared" si="5"/>
        <v>9.375E-2</v>
      </c>
      <c r="H40" s="4">
        <f t="shared" si="6"/>
        <v>9.375E-2</v>
      </c>
    </row>
    <row r="41" spans="2:8" x14ac:dyDescent="0.35">
      <c r="C41" s="9" t="s">
        <v>24</v>
      </c>
      <c r="D41" s="3">
        <v>16</v>
      </c>
      <c r="E41" s="3">
        <v>14</v>
      </c>
      <c r="F41" s="3">
        <v>14</v>
      </c>
      <c r="G41" s="4">
        <f t="shared" si="5"/>
        <v>0.875</v>
      </c>
      <c r="H41" s="4">
        <f t="shared" si="6"/>
        <v>0.875</v>
      </c>
    </row>
    <row r="42" spans="2:8" x14ac:dyDescent="0.35">
      <c r="C42" s="9" t="s">
        <v>25</v>
      </c>
      <c r="D42" s="3">
        <v>23</v>
      </c>
      <c r="E42" s="3">
        <v>12</v>
      </c>
      <c r="F42" s="3">
        <v>12</v>
      </c>
      <c r="G42" s="4">
        <f t="shared" si="5"/>
        <v>0.52173913043478259</v>
      </c>
      <c r="H42" s="4">
        <f t="shared" si="6"/>
        <v>0.52173913043478259</v>
      </c>
    </row>
    <row r="43" spans="2:8" x14ac:dyDescent="0.35">
      <c r="C43" s="2" t="s">
        <v>1</v>
      </c>
      <c r="D43" s="5">
        <f>SUM(D32:D42)</f>
        <v>617</v>
      </c>
      <c r="E43" s="5">
        <f>SUM(E32:E42)</f>
        <v>133</v>
      </c>
      <c r="F43" s="5">
        <f>SUM(F32:F42)</f>
        <v>133</v>
      </c>
      <c r="G43" s="4">
        <f t="shared" si="5"/>
        <v>0.21555915721231766</v>
      </c>
      <c r="H43" s="4">
        <f t="shared" si="6"/>
        <v>0.21555915721231766</v>
      </c>
    </row>
    <row r="45" spans="2:8" s="6" customFormat="1" ht="15" x14ac:dyDescent="0.4">
      <c r="B45" s="6" t="s">
        <v>16</v>
      </c>
      <c r="C45" s="7" t="s">
        <v>0</v>
      </c>
      <c r="D45" s="6" t="s">
        <v>1</v>
      </c>
      <c r="E45" s="6" t="s">
        <v>2</v>
      </c>
      <c r="F45" s="6" t="s">
        <v>3</v>
      </c>
      <c r="G45" s="6" t="s">
        <v>4</v>
      </c>
      <c r="H45" s="6" t="s">
        <v>5</v>
      </c>
    </row>
    <row r="46" spans="2:8" x14ac:dyDescent="0.35">
      <c r="B46" t="s">
        <v>17</v>
      </c>
      <c r="C46" s="2" t="s">
        <v>6</v>
      </c>
      <c r="D46" s="3">
        <f>SUM(D32,D35,D37)</f>
        <v>250</v>
      </c>
      <c r="E46" s="3">
        <f>SUM(E32,E35,E37)</f>
        <v>47</v>
      </c>
      <c r="F46" s="3">
        <f>SUM(F32,F35,F37)</f>
        <v>47</v>
      </c>
      <c r="G46" s="4">
        <f>E46/D46</f>
        <v>0.188</v>
      </c>
      <c r="H46" s="4">
        <f>F46/D46</f>
        <v>0.188</v>
      </c>
    </row>
    <row r="47" spans="2:8" x14ac:dyDescent="0.35">
      <c r="B47" t="s">
        <v>18</v>
      </c>
      <c r="C47" s="2" t="s">
        <v>7</v>
      </c>
      <c r="D47" s="3">
        <v>80</v>
      </c>
      <c r="E47" s="3">
        <v>8</v>
      </c>
      <c r="F47" s="3">
        <v>8</v>
      </c>
      <c r="G47" s="4">
        <f t="shared" ref="G47:G53" si="7">E47/D47</f>
        <v>0.1</v>
      </c>
      <c r="H47" s="4">
        <f t="shared" ref="H47:H53" si="8">F47/D47</f>
        <v>0.1</v>
      </c>
    </row>
    <row r="48" spans="2:8" x14ac:dyDescent="0.35">
      <c r="B48" t="s">
        <v>19</v>
      </c>
      <c r="C48" s="2" t="s">
        <v>10</v>
      </c>
      <c r="D48" s="3">
        <v>14</v>
      </c>
      <c r="E48" s="3">
        <v>1</v>
      </c>
      <c r="F48" s="3">
        <v>1</v>
      </c>
      <c r="G48" s="4">
        <f t="shared" si="7"/>
        <v>7.1428571428571425E-2</v>
      </c>
      <c r="H48" s="4">
        <f t="shared" si="8"/>
        <v>7.1428571428571425E-2</v>
      </c>
    </row>
    <row r="49" spans="2:8" x14ac:dyDescent="0.35">
      <c r="B49" t="s">
        <v>20</v>
      </c>
      <c r="C49" s="2" t="s">
        <v>12</v>
      </c>
      <c r="D49" s="3">
        <v>83</v>
      </c>
      <c r="E49" s="3">
        <v>21</v>
      </c>
      <c r="F49" s="3">
        <v>21</v>
      </c>
      <c r="G49" s="4">
        <f t="shared" si="7"/>
        <v>0.25301204819277107</v>
      </c>
      <c r="H49" s="4">
        <f t="shared" si="8"/>
        <v>0.25301204819277107</v>
      </c>
    </row>
    <row r="50" spans="2:8" x14ac:dyDescent="0.35">
      <c r="B50" t="s">
        <v>21</v>
      </c>
      <c r="C50" s="2" t="s">
        <v>13</v>
      </c>
      <c r="D50" s="3">
        <f>SUM(D39,D34)</f>
        <v>55</v>
      </c>
      <c r="E50" s="3">
        <f>SUM(E39,E34)</f>
        <v>21</v>
      </c>
      <c r="F50" s="3">
        <f>SUM(F39,F34)</f>
        <v>21</v>
      </c>
      <c r="G50" s="4">
        <f t="shared" si="7"/>
        <v>0.38181818181818183</v>
      </c>
      <c r="H50" s="4">
        <f t="shared" si="8"/>
        <v>0.38181818181818183</v>
      </c>
    </row>
    <row r="51" spans="2:8" x14ac:dyDescent="0.35">
      <c r="B51" t="s">
        <v>22</v>
      </c>
      <c r="C51" s="2" t="s">
        <v>14</v>
      </c>
      <c r="D51" s="3">
        <v>96</v>
      </c>
      <c r="E51" s="3">
        <v>9</v>
      </c>
      <c r="F51" s="3">
        <v>9</v>
      </c>
      <c r="G51" s="4">
        <f t="shared" si="7"/>
        <v>9.375E-2</v>
      </c>
      <c r="H51" s="4">
        <f t="shared" si="8"/>
        <v>9.375E-2</v>
      </c>
    </row>
    <row r="52" spans="2:8" x14ac:dyDescent="0.35">
      <c r="B52" t="s">
        <v>26</v>
      </c>
      <c r="C52" s="9" t="s">
        <v>27</v>
      </c>
      <c r="D52" s="3">
        <f>SUM(D41:D42)</f>
        <v>39</v>
      </c>
      <c r="E52" s="3">
        <f>SUM(E41:E42)</f>
        <v>26</v>
      </c>
      <c r="F52" s="3">
        <f>SUM(F41:F42)</f>
        <v>26</v>
      </c>
      <c r="G52" s="4">
        <f t="shared" ref="G52" si="9">E52/D52</f>
        <v>0.66666666666666663</v>
      </c>
      <c r="H52" s="4">
        <f t="shared" ref="H52" si="10">F52/D52</f>
        <v>0.66666666666666663</v>
      </c>
    </row>
    <row r="53" spans="2:8" x14ac:dyDescent="0.35">
      <c r="C53" s="2" t="s">
        <v>1</v>
      </c>
      <c r="D53" s="5">
        <f>SUM(D46:D52)</f>
        <v>617</v>
      </c>
      <c r="E53" s="5">
        <f t="shared" ref="E53:F53" si="11">SUM(E46:E52)</f>
        <v>133</v>
      </c>
      <c r="F53" s="5">
        <f t="shared" si="11"/>
        <v>133</v>
      </c>
      <c r="G53" s="4">
        <f t="shared" si="7"/>
        <v>0.21555915721231766</v>
      </c>
      <c r="H53" s="4">
        <f t="shared" si="8"/>
        <v>0.21555915721231766</v>
      </c>
    </row>
  </sheetData>
  <hyperlinks>
    <hyperlink ref="B2" r:id="rId1" xr:uid="{6A7F6132-E2AD-4456-9149-D40AD5643EED}"/>
  </hyperlinks>
  <pageMargins left="0.7" right="0.7" top="0.75" bottom="0.75" header="0.3" footer="0.3"/>
  <pageSetup orientation="portrait" r:id="rId2"/>
  <headerFooter>
    <oddHeader>&amp;L&amp;"Aptos"&amp;10&amp;K0000FF [AMD Official Use Only - AMD Internal Distribution Only]&amp;1#_x000D_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E22D-3C2A-4A01-B1E3-B691FF01B14A}">
  <dimension ref="A1:H53"/>
  <sheetViews>
    <sheetView workbookViewId="0">
      <selection activeCell="P45" sqref="P45"/>
    </sheetView>
  </sheetViews>
  <sheetFormatPr defaultRowHeight="13.5" x14ac:dyDescent="0.35"/>
  <cols>
    <col min="1" max="1" width="9.9375" customWidth="1"/>
    <col min="2" max="2" width="20.6875" customWidth="1"/>
    <col min="3" max="3" width="11.25" bestFit="1" customWidth="1"/>
    <col min="4" max="4" width="5.75" bestFit="1" customWidth="1"/>
    <col min="5" max="5" width="13.5" bestFit="1" customWidth="1"/>
    <col min="6" max="6" width="11.125" bestFit="1" customWidth="1"/>
    <col min="7" max="7" width="14.75" bestFit="1" customWidth="1"/>
    <col min="8" max="8" width="11.75" bestFit="1" customWidth="1"/>
  </cols>
  <sheetData>
    <row r="1" spans="1:8" x14ac:dyDescent="0.35">
      <c r="B1" t="s">
        <v>30</v>
      </c>
    </row>
    <row r="2" spans="1:8" x14ac:dyDescent="0.35">
      <c r="B2" s="8" t="s">
        <v>105</v>
      </c>
    </row>
    <row r="5" spans="1:8" s="16" customFormat="1" ht="13.9" x14ac:dyDescent="0.4">
      <c r="A5" s="15" t="s">
        <v>71</v>
      </c>
    </row>
    <row r="6" spans="1:8" x14ac:dyDescent="0.35">
      <c r="C6" s="1" t="s">
        <v>0</v>
      </c>
      <c r="D6" t="s">
        <v>1</v>
      </c>
      <c r="E6" t="s">
        <v>28</v>
      </c>
      <c r="F6" t="s">
        <v>29</v>
      </c>
      <c r="G6" t="s">
        <v>4</v>
      </c>
      <c r="H6" t="s">
        <v>5</v>
      </c>
    </row>
    <row r="7" spans="1:8" x14ac:dyDescent="0.35">
      <c r="C7" s="2" t="s">
        <v>6</v>
      </c>
      <c r="D7" s="3">
        <v>99</v>
      </c>
      <c r="E7" s="3">
        <v>70</v>
      </c>
      <c r="F7" s="3">
        <v>24</v>
      </c>
      <c r="G7" s="4">
        <f>E7/D7</f>
        <v>0.70707070707070707</v>
      </c>
      <c r="H7" s="4">
        <f>F7/D7</f>
        <v>0.24242424242424243</v>
      </c>
    </row>
    <row r="8" spans="1:8" x14ac:dyDescent="0.35">
      <c r="C8" s="2" t="s">
        <v>7</v>
      </c>
      <c r="D8" s="3">
        <v>80</v>
      </c>
      <c r="E8" s="3">
        <v>63</v>
      </c>
      <c r="F8" s="3">
        <v>51</v>
      </c>
      <c r="G8" s="4">
        <f t="shared" ref="G8:G18" si="0">E8/D8</f>
        <v>0.78749999999999998</v>
      </c>
      <c r="H8" s="4">
        <f t="shared" ref="H8:H18" si="1">F8/D8</f>
        <v>0.63749999999999996</v>
      </c>
    </row>
    <row r="9" spans="1:8" x14ac:dyDescent="0.35">
      <c r="C9" s="2" t="s">
        <v>8</v>
      </c>
      <c r="D9" s="3">
        <v>37</v>
      </c>
      <c r="E9" s="3">
        <v>30</v>
      </c>
      <c r="F9" s="3">
        <v>25</v>
      </c>
      <c r="G9" s="4">
        <f t="shared" si="0"/>
        <v>0.81081081081081086</v>
      </c>
      <c r="H9" s="4">
        <f t="shared" si="1"/>
        <v>0.67567567567567566</v>
      </c>
    </row>
    <row r="10" spans="1:8" x14ac:dyDescent="0.35">
      <c r="C10" s="2" t="s">
        <v>9</v>
      </c>
      <c r="D10" s="3">
        <v>57</v>
      </c>
      <c r="E10" s="3">
        <v>38</v>
      </c>
      <c r="F10" s="3">
        <v>21</v>
      </c>
      <c r="G10" s="4">
        <f t="shared" si="0"/>
        <v>0.66666666666666663</v>
      </c>
      <c r="H10" s="4">
        <f t="shared" si="1"/>
        <v>0.36842105263157893</v>
      </c>
    </row>
    <row r="11" spans="1:8" x14ac:dyDescent="0.35">
      <c r="C11" s="2" t="s">
        <v>10</v>
      </c>
      <c r="D11" s="3">
        <v>14</v>
      </c>
      <c r="E11" s="3">
        <v>10</v>
      </c>
      <c r="F11" s="3">
        <v>3</v>
      </c>
      <c r="G11" s="4">
        <f t="shared" si="0"/>
        <v>0.7142857142857143</v>
      </c>
      <c r="H11" s="4">
        <f t="shared" si="1"/>
        <v>0.21428571428571427</v>
      </c>
    </row>
    <row r="12" spans="1:8" x14ac:dyDescent="0.35">
      <c r="C12" s="2" t="s">
        <v>11</v>
      </c>
      <c r="D12" s="3">
        <v>94</v>
      </c>
      <c r="E12" s="3">
        <v>82</v>
      </c>
      <c r="F12" s="3">
        <v>50</v>
      </c>
      <c r="G12" s="4">
        <f t="shared" si="0"/>
        <v>0.87234042553191493</v>
      </c>
      <c r="H12" s="4">
        <f t="shared" si="1"/>
        <v>0.53191489361702127</v>
      </c>
    </row>
    <row r="13" spans="1:8" x14ac:dyDescent="0.35">
      <c r="C13" s="2" t="s">
        <v>12</v>
      </c>
      <c r="D13" s="3">
        <v>83</v>
      </c>
      <c r="E13" s="3">
        <v>66</v>
      </c>
      <c r="F13" s="3">
        <v>44</v>
      </c>
      <c r="G13" s="4">
        <f t="shared" si="0"/>
        <v>0.79518072289156627</v>
      </c>
      <c r="H13" s="4">
        <f t="shared" si="1"/>
        <v>0.53012048192771088</v>
      </c>
    </row>
    <row r="14" spans="1:8" x14ac:dyDescent="0.35">
      <c r="C14" s="2" t="s">
        <v>13</v>
      </c>
      <c r="D14" s="3">
        <v>18</v>
      </c>
      <c r="E14" s="3">
        <v>19</v>
      </c>
      <c r="F14" s="3">
        <v>18</v>
      </c>
      <c r="G14" s="4">
        <f t="shared" si="0"/>
        <v>1.0555555555555556</v>
      </c>
      <c r="H14" s="4">
        <f t="shared" si="1"/>
        <v>1</v>
      </c>
    </row>
    <row r="15" spans="1:8" x14ac:dyDescent="0.35">
      <c r="C15" s="2" t="s">
        <v>14</v>
      </c>
      <c r="D15" s="3">
        <v>96</v>
      </c>
      <c r="E15" s="3">
        <v>50</v>
      </c>
      <c r="F15" s="3">
        <v>31</v>
      </c>
      <c r="G15" s="4">
        <f t="shared" si="0"/>
        <v>0.52083333333333337</v>
      </c>
      <c r="H15" s="4">
        <f t="shared" si="1"/>
        <v>0.32291666666666669</v>
      </c>
    </row>
    <row r="16" spans="1:8" x14ac:dyDescent="0.35">
      <c r="C16" s="9" t="s">
        <v>24</v>
      </c>
      <c r="D16" s="3">
        <v>16</v>
      </c>
      <c r="E16" s="3">
        <v>16</v>
      </c>
      <c r="F16" s="3">
        <v>13</v>
      </c>
      <c r="G16" s="4">
        <f t="shared" si="0"/>
        <v>1</v>
      </c>
      <c r="H16" s="4">
        <f t="shared" si="1"/>
        <v>0.8125</v>
      </c>
    </row>
    <row r="17" spans="1:8" x14ac:dyDescent="0.35">
      <c r="C17" s="9" t="s">
        <v>25</v>
      </c>
      <c r="D17" s="3">
        <v>23</v>
      </c>
      <c r="E17" s="3">
        <v>12</v>
      </c>
      <c r="F17" s="3">
        <v>7</v>
      </c>
      <c r="G17" s="4">
        <f t="shared" si="0"/>
        <v>0.52173913043478259</v>
      </c>
      <c r="H17" s="4">
        <f t="shared" si="1"/>
        <v>0.30434782608695654</v>
      </c>
    </row>
    <row r="18" spans="1:8" x14ac:dyDescent="0.35">
      <c r="C18" s="2" t="s">
        <v>1</v>
      </c>
      <c r="D18" s="5">
        <f>SUM(D7:D17)</f>
        <v>617</v>
      </c>
      <c r="E18" s="5">
        <f>SUM(E7:E17)</f>
        <v>456</v>
      </c>
      <c r="F18" s="5">
        <f>SUM(F7:F17)</f>
        <v>287</v>
      </c>
      <c r="G18" s="4">
        <f t="shared" si="0"/>
        <v>0.73905996758508918</v>
      </c>
      <c r="H18" s="4">
        <f t="shared" si="1"/>
        <v>0.46515397082658022</v>
      </c>
    </row>
    <row r="20" spans="1:8" ht="15" x14ac:dyDescent="0.4">
      <c r="B20" s="6" t="s">
        <v>16</v>
      </c>
      <c r="C20" s="7" t="s">
        <v>0</v>
      </c>
      <c r="D20" s="6" t="s">
        <v>1</v>
      </c>
      <c r="E20" t="s">
        <v>28</v>
      </c>
      <c r="F20" t="s">
        <v>29</v>
      </c>
      <c r="G20" s="6" t="s">
        <v>4</v>
      </c>
      <c r="H20" s="6" t="s">
        <v>5</v>
      </c>
    </row>
    <row r="21" spans="1:8" x14ac:dyDescent="0.35">
      <c r="B21" t="s">
        <v>17</v>
      </c>
      <c r="C21" s="2" t="s">
        <v>6</v>
      </c>
      <c r="D21" s="3">
        <f>SUM(D7,D10,D12)</f>
        <v>250</v>
      </c>
      <c r="E21" s="3">
        <f>SUM(E7,E10,E12)</f>
        <v>190</v>
      </c>
      <c r="F21" s="3">
        <f>SUM(F7,F10,F12)</f>
        <v>95</v>
      </c>
      <c r="G21" s="4">
        <f>E21/D21</f>
        <v>0.76</v>
      </c>
      <c r="H21" s="4">
        <f>F21/D21</f>
        <v>0.38</v>
      </c>
    </row>
    <row r="22" spans="1:8" x14ac:dyDescent="0.35">
      <c r="B22" t="s">
        <v>18</v>
      </c>
      <c r="C22" s="2" t="s">
        <v>7</v>
      </c>
      <c r="D22" s="3">
        <v>80</v>
      </c>
      <c r="E22" s="3">
        <f>E8</f>
        <v>63</v>
      </c>
      <c r="F22" s="3">
        <f>F8</f>
        <v>51</v>
      </c>
      <c r="G22" s="4">
        <f t="shared" ref="G22:G28" si="2">E22/D22</f>
        <v>0.78749999999999998</v>
      </c>
      <c r="H22" s="4">
        <f t="shared" ref="H22:H28" si="3">F22/D22</f>
        <v>0.63749999999999996</v>
      </c>
    </row>
    <row r="23" spans="1:8" x14ac:dyDescent="0.35">
      <c r="B23" t="s">
        <v>19</v>
      </c>
      <c r="C23" s="2" t="s">
        <v>10</v>
      </c>
      <c r="D23" s="3">
        <v>14</v>
      </c>
      <c r="E23" s="3">
        <f>E11</f>
        <v>10</v>
      </c>
      <c r="F23" s="3">
        <f>F11</f>
        <v>3</v>
      </c>
      <c r="G23" s="4">
        <f t="shared" si="2"/>
        <v>0.7142857142857143</v>
      </c>
      <c r="H23" s="4">
        <f t="shared" si="3"/>
        <v>0.21428571428571427</v>
      </c>
    </row>
    <row r="24" spans="1:8" x14ac:dyDescent="0.35">
      <c r="B24" t="s">
        <v>20</v>
      </c>
      <c r="C24" s="2" t="s">
        <v>12</v>
      </c>
      <c r="D24" s="3">
        <v>83</v>
      </c>
      <c r="E24" s="3">
        <f>E13</f>
        <v>66</v>
      </c>
      <c r="F24" s="3">
        <f>F13</f>
        <v>44</v>
      </c>
      <c r="G24" s="4">
        <f t="shared" si="2"/>
        <v>0.79518072289156627</v>
      </c>
      <c r="H24" s="4">
        <f t="shared" si="3"/>
        <v>0.53012048192771088</v>
      </c>
    </row>
    <row r="25" spans="1:8" x14ac:dyDescent="0.35">
      <c r="B25" t="s">
        <v>21</v>
      </c>
      <c r="C25" s="2" t="s">
        <v>13</v>
      </c>
      <c r="D25" s="3">
        <f>SUM(D14,D9)</f>
        <v>55</v>
      </c>
      <c r="E25" s="3">
        <f>SUM(E14,E9)</f>
        <v>49</v>
      </c>
      <c r="F25" s="3">
        <f>SUM(F14,F9)</f>
        <v>43</v>
      </c>
      <c r="G25" s="4">
        <f t="shared" si="2"/>
        <v>0.89090909090909087</v>
      </c>
      <c r="H25" s="4">
        <f t="shared" si="3"/>
        <v>0.78181818181818186</v>
      </c>
    </row>
    <row r="26" spans="1:8" x14ac:dyDescent="0.35">
      <c r="B26" t="s">
        <v>22</v>
      </c>
      <c r="C26" s="2" t="s">
        <v>14</v>
      </c>
      <c r="D26" s="3">
        <v>96</v>
      </c>
      <c r="E26" s="3">
        <f>E15</f>
        <v>50</v>
      </c>
      <c r="F26" s="3">
        <f>F15</f>
        <v>31</v>
      </c>
      <c r="G26" s="4">
        <f t="shared" si="2"/>
        <v>0.52083333333333337</v>
      </c>
      <c r="H26" s="4">
        <f t="shared" si="3"/>
        <v>0.32291666666666669</v>
      </c>
    </row>
    <row r="27" spans="1:8" x14ac:dyDescent="0.35">
      <c r="B27" t="s">
        <v>26</v>
      </c>
      <c r="C27" s="9" t="s">
        <v>27</v>
      </c>
      <c r="D27" s="3">
        <f>SUM(D16:D17)</f>
        <v>39</v>
      </c>
      <c r="E27" s="3">
        <f>SUM(E16:E17)</f>
        <v>28</v>
      </c>
      <c r="F27" s="3">
        <f>SUM(F16:F17)</f>
        <v>20</v>
      </c>
      <c r="G27" s="4">
        <f t="shared" si="2"/>
        <v>0.71794871794871795</v>
      </c>
      <c r="H27" s="4">
        <f t="shared" si="3"/>
        <v>0.51282051282051277</v>
      </c>
    </row>
    <row r="28" spans="1:8" x14ac:dyDescent="0.35">
      <c r="C28" s="2" t="s">
        <v>1</v>
      </c>
      <c r="D28" s="5">
        <f>SUM(D21:D27)</f>
        <v>617</v>
      </c>
      <c r="E28" s="5">
        <f t="shared" ref="E28:F28" si="4">SUM(E21:E27)</f>
        <v>456</v>
      </c>
      <c r="F28" s="5">
        <f t="shared" si="4"/>
        <v>287</v>
      </c>
      <c r="G28" s="4">
        <f t="shared" si="2"/>
        <v>0.73905996758508918</v>
      </c>
      <c r="H28" s="4">
        <f t="shared" si="3"/>
        <v>0.46515397082658022</v>
      </c>
    </row>
    <row r="30" spans="1:8" s="16" customFormat="1" ht="13.9" x14ac:dyDescent="0.4">
      <c r="A30" s="17" t="s">
        <v>72</v>
      </c>
    </row>
    <row r="31" spans="1:8" x14ac:dyDescent="0.35">
      <c r="C31" s="1" t="s">
        <v>0</v>
      </c>
      <c r="D31" t="s">
        <v>1</v>
      </c>
      <c r="E31" t="s">
        <v>28</v>
      </c>
      <c r="F31" t="s">
        <v>29</v>
      </c>
      <c r="G31" t="s">
        <v>4</v>
      </c>
      <c r="H31" t="s">
        <v>5</v>
      </c>
    </row>
    <row r="32" spans="1:8" x14ac:dyDescent="0.35">
      <c r="C32" s="2" t="s">
        <v>6</v>
      </c>
      <c r="D32" s="3">
        <v>99</v>
      </c>
      <c r="E32" s="3">
        <v>63</v>
      </c>
      <c r="F32" s="3">
        <v>24</v>
      </c>
      <c r="G32" s="4">
        <f>E32/D32</f>
        <v>0.63636363636363635</v>
      </c>
      <c r="H32" s="4">
        <f>F32/D32</f>
        <v>0.24242424242424243</v>
      </c>
    </row>
    <row r="33" spans="2:8" x14ac:dyDescent="0.35">
      <c r="C33" s="2" t="s">
        <v>7</v>
      </c>
      <c r="D33" s="3">
        <v>80</v>
      </c>
      <c r="E33" s="3">
        <v>58</v>
      </c>
      <c r="F33" s="3">
        <v>22</v>
      </c>
      <c r="G33" s="4">
        <f t="shared" ref="G33:G43" si="5">E33/D33</f>
        <v>0.72499999999999998</v>
      </c>
      <c r="H33" s="4">
        <f t="shared" ref="H33:H43" si="6">F33/D33</f>
        <v>0.27500000000000002</v>
      </c>
    </row>
    <row r="34" spans="2:8" x14ac:dyDescent="0.35">
      <c r="C34" s="2" t="s">
        <v>8</v>
      </c>
      <c r="D34" s="3">
        <v>37</v>
      </c>
      <c r="E34" s="3">
        <v>29</v>
      </c>
      <c r="F34" s="3">
        <v>11</v>
      </c>
      <c r="G34" s="4">
        <f t="shared" si="5"/>
        <v>0.78378378378378377</v>
      </c>
      <c r="H34" s="4">
        <f t="shared" si="6"/>
        <v>0.29729729729729731</v>
      </c>
    </row>
    <row r="35" spans="2:8" x14ac:dyDescent="0.35">
      <c r="C35" s="2" t="s">
        <v>9</v>
      </c>
      <c r="D35" s="3">
        <v>57</v>
      </c>
      <c r="E35" s="3">
        <v>37</v>
      </c>
      <c r="F35" s="3">
        <v>13</v>
      </c>
      <c r="G35" s="4">
        <f t="shared" si="5"/>
        <v>0.64912280701754388</v>
      </c>
      <c r="H35" s="4">
        <f t="shared" si="6"/>
        <v>0.22807017543859648</v>
      </c>
    </row>
    <row r="36" spans="2:8" x14ac:dyDescent="0.35">
      <c r="C36" s="2" t="s">
        <v>10</v>
      </c>
      <c r="D36" s="3">
        <v>14</v>
      </c>
      <c r="E36" s="3">
        <v>9</v>
      </c>
      <c r="F36" s="3">
        <v>1</v>
      </c>
      <c r="G36" s="4">
        <f t="shared" si="5"/>
        <v>0.6428571428571429</v>
      </c>
      <c r="H36" s="4">
        <f t="shared" si="6"/>
        <v>7.1428571428571425E-2</v>
      </c>
    </row>
    <row r="37" spans="2:8" x14ac:dyDescent="0.35">
      <c r="C37" s="2" t="s">
        <v>11</v>
      </c>
      <c r="D37" s="3">
        <v>94</v>
      </c>
      <c r="E37" s="3">
        <v>77</v>
      </c>
      <c r="F37" s="3">
        <v>22</v>
      </c>
      <c r="G37" s="4">
        <f t="shared" si="5"/>
        <v>0.81914893617021278</v>
      </c>
      <c r="H37" s="4">
        <f t="shared" si="6"/>
        <v>0.23404255319148937</v>
      </c>
    </row>
    <row r="38" spans="2:8" x14ac:dyDescent="0.35">
      <c r="C38" s="2" t="s">
        <v>12</v>
      </c>
      <c r="D38" s="3">
        <v>83</v>
      </c>
      <c r="E38" s="3">
        <v>63</v>
      </c>
      <c r="F38" s="3">
        <v>27</v>
      </c>
      <c r="G38" s="4">
        <f t="shared" si="5"/>
        <v>0.75903614457831325</v>
      </c>
      <c r="H38" s="4">
        <f t="shared" si="6"/>
        <v>0.3253012048192771</v>
      </c>
    </row>
    <row r="39" spans="2:8" x14ac:dyDescent="0.35">
      <c r="C39" s="2" t="s">
        <v>13</v>
      </c>
      <c r="D39" s="3">
        <v>18</v>
      </c>
      <c r="E39" s="3">
        <v>18</v>
      </c>
      <c r="F39" s="3">
        <v>10</v>
      </c>
      <c r="G39" s="4">
        <f t="shared" si="5"/>
        <v>1</v>
      </c>
      <c r="H39" s="4">
        <f t="shared" si="6"/>
        <v>0.55555555555555558</v>
      </c>
    </row>
    <row r="40" spans="2:8" x14ac:dyDescent="0.35">
      <c r="C40" s="2" t="s">
        <v>14</v>
      </c>
      <c r="D40" s="3">
        <v>96</v>
      </c>
      <c r="E40" s="3">
        <v>44</v>
      </c>
      <c r="F40" s="3">
        <v>16</v>
      </c>
      <c r="G40" s="4">
        <f t="shared" si="5"/>
        <v>0.45833333333333331</v>
      </c>
      <c r="H40" s="4">
        <f t="shared" si="6"/>
        <v>0.16666666666666666</v>
      </c>
    </row>
    <row r="41" spans="2:8" x14ac:dyDescent="0.35">
      <c r="C41" s="9" t="s">
        <v>24</v>
      </c>
      <c r="D41" s="3">
        <v>16</v>
      </c>
      <c r="E41" s="3">
        <v>14</v>
      </c>
      <c r="F41" s="3">
        <v>7</v>
      </c>
      <c r="G41" s="4">
        <f t="shared" si="5"/>
        <v>0.875</v>
      </c>
      <c r="H41" s="4">
        <f t="shared" si="6"/>
        <v>0.4375</v>
      </c>
    </row>
    <row r="42" spans="2:8" x14ac:dyDescent="0.35">
      <c r="C42" s="9" t="s">
        <v>25</v>
      </c>
      <c r="D42" s="3">
        <v>23</v>
      </c>
      <c r="E42" s="3">
        <v>12</v>
      </c>
      <c r="F42" s="3">
        <v>2</v>
      </c>
      <c r="G42" s="4">
        <f t="shared" si="5"/>
        <v>0.52173913043478259</v>
      </c>
      <c r="H42" s="4">
        <f t="shared" si="6"/>
        <v>8.6956521739130432E-2</v>
      </c>
    </row>
    <row r="43" spans="2:8" x14ac:dyDescent="0.35">
      <c r="C43" s="2" t="s">
        <v>1</v>
      </c>
      <c r="D43" s="5">
        <f>SUM(D32:D42)</f>
        <v>617</v>
      </c>
      <c r="E43" s="5">
        <f>SUM(E32:E42)</f>
        <v>424</v>
      </c>
      <c r="F43" s="5">
        <f>SUM(F32:F42)</f>
        <v>155</v>
      </c>
      <c r="G43" s="4">
        <f t="shared" si="5"/>
        <v>0.68719611021069693</v>
      </c>
      <c r="H43" s="4">
        <f t="shared" si="6"/>
        <v>0.25121555915721233</v>
      </c>
    </row>
    <row r="45" spans="2:8" ht="15" x14ac:dyDescent="0.4">
      <c r="B45" s="6" t="s">
        <v>16</v>
      </c>
      <c r="C45" s="7" t="s">
        <v>0</v>
      </c>
      <c r="D45" s="6" t="s">
        <v>1</v>
      </c>
      <c r="E45" t="s">
        <v>28</v>
      </c>
      <c r="F45" t="s">
        <v>29</v>
      </c>
      <c r="G45" s="6" t="s">
        <v>4</v>
      </c>
      <c r="H45" s="6" t="s">
        <v>5</v>
      </c>
    </row>
    <row r="46" spans="2:8" s="6" customFormat="1" ht="15" x14ac:dyDescent="0.4">
      <c r="B46" t="s">
        <v>17</v>
      </c>
      <c r="C46" s="2" t="s">
        <v>6</v>
      </c>
      <c r="D46" s="3">
        <f>SUM(D32,D35,D37)</f>
        <v>250</v>
      </c>
      <c r="E46" s="3">
        <f>SUM(E32,E35,E37)</f>
        <v>177</v>
      </c>
      <c r="F46" s="3">
        <f>SUM(F32,F35,F37)</f>
        <v>59</v>
      </c>
      <c r="G46" s="4">
        <f>E46/D46</f>
        <v>0.70799999999999996</v>
      </c>
      <c r="H46" s="4">
        <f>F46/D46</f>
        <v>0.23599999999999999</v>
      </c>
    </row>
    <row r="47" spans="2:8" x14ac:dyDescent="0.35">
      <c r="B47" t="s">
        <v>18</v>
      </c>
      <c r="C47" s="2" t="s">
        <v>7</v>
      </c>
      <c r="D47" s="3">
        <v>80</v>
      </c>
      <c r="E47" s="3">
        <v>58</v>
      </c>
      <c r="F47" s="3">
        <v>22</v>
      </c>
      <c r="G47" s="4">
        <f t="shared" ref="G47:G53" si="7">E47/D47</f>
        <v>0.72499999999999998</v>
      </c>
      <c r="H47" s="4">
        <f t="shared" ref="H47:H53" si="8">F47/D47</f>
        <v>0.27500000000000002</v>
      </c>
    </row>
    <row r="48" spans="2:8" x14ac:dyDescent="0.35">
      <c r="B48" t="s">
        <v>19</v>
      </c>
      <c r="C48" s="2" t="s">
        <v>10</v>
      </c>
      <c r="D48" s="3">
        <v>14</v>
      </c>
      <c r="E48" s="3">
        <v>9</v>
      </c>
      <c r="F48" s="3">
        <v>1</v>
      </c>
      <c r="G48" s="4">
        <f t="shared" si="7"/>
        <v>0.6428571428571429</v>
      </c>
      <c r="H48" s="4">
        <f t="shared" si="8"/>
        <v>7.1428571428571425E-2</v>
      </c>
    </row>
    <row r="49" spans="2:8" x14ac:dyDescent="0.35">
      <c r="B49" t="s">
        <v>20</v>
      </c>
      <c r="C49" s="2" t="s">
        <v>12</v>
      </c>
      <c r="D49" s="3">
        <v>83</v>
      </c>
      <c r="E49" s="3">
        <v>63</v>
      </c>
      <c r="F49" s="3">
        <v>27</v>
      </c>
      <c r="G49" s="4">
        <f t="shared" si="7"/>
        <v>0.75903614457831325</v>
      </c>
      <c r="H49" s="4">
        <f t="shared" si="8"/>
        <v>0.3253012048192771</v>
      </c>
    </row>
    <row r="50" spans="2:8" x14ac:dyDescent="0.35">
      <c r="B50" t="s">
        <v>21</v>
      </c>
      <c r="C50" s="2" t="s">
        <v>13</v>
      </c>
      <c r="D50" s="3">
        <f>SUM(D39,D34)</f>
        <v>55</v>
      </c>
      <c r="E50" s="3">
        <f>SUM(E39,E34)</f>
        <v>47</v>
      </c>
      <c r="F50" s="3">
        <f>SUM(F39,F34)</f>
        <v>21</v>
      </c>
      <c r="G50" s="4">
        <f t="shared" si="7"/>
        <v>0.8545454545454545</v>
      </c>
      <c r="H50" s="4">
        <f t="shared" si="8"/>
        <v>0.38181818181818183</v>
      </c>
    </row>
    <row r="51" spans="2:8" x14ac:dyDescent="0.35">
      <c r="B51" t="s">
        <v>22</v>
      </c>
      <c r="C51" s="2" t="s">
        <v>14</v>
      </c>
      <c r="D51" s="3">
        <v>96</v>
      </c>
      <c r="E51" s="3">
        <v>44</v>
      </c>
      <c r="F51" s="3">
        <v>16</v>
      </c>
      <c r="G51" s="4">
        <f t="shared" si="7"/>
        <v>0.45833333333333331</v>
      </c>
      <c r="H51" s="4">
        <f t="shared" si="8"/>
        <v>0.16666666666666666</v>
      </c>
    </row>
    <row r="52" spans="2:8" x14ac:dyDescent="0.35">
      <c r="B52" t="s">
        <v>26</v>
      </c>
      <c r="C52" s="9" t="s">
        <v>27</v>
      </c>
      <c r="D52" s="3">
        <f>SUM(D41:D42)</f>
        <v>39</v>
      </c>
      <c r="E52" s="3">
        <f>SUM(E41:E42)</f>
        <v>26</v>
      </c>
      <c r="F52" s="3">
        <f>SUM(F41:F42)</f>
        <v>9</v>
      </c>
      <c r="G52" s="4">
        <f t="shared" si="7"/>
        <v>0.66666666666666663</v>
      </c>
      <c r="H52" s="4">
        <f t="shared" si="8"/>
        <v>0.23076923076923078</v>
      </c>
    </row>
    <row r="53" spans="2:8" x14ac:dyDescent="0.35">
      <c r="C53" s="2" t="s">
        <v>1</v>
      </c>
      <c r="D53" s="5">
        <f>SUM(D46:D52)</f>
        <v>617</v>
      </c>
      <c r="E53" s="5">
        <f t="shared" ref="E53:F53" si="9">SUM(E46:E52)</f>
        <v>424</v>
      </c>
      <c r="F53" s="5">
        <f t="shared" si="9"/>
        <v>155</v>
      </c>
      <c r="G53" s="4">
        <f t="shared" si="7"/>
        <v>0.68719611021069693</v>
      </c>
      <c r="H53" s="4">
        <f t="shared" si="8"/>
        <v>0.25121555915721233</v>
      </c>
    </row>
  </sheetData>
  <hyperlinks>
    <hyperlink ref="B2" r:id="rId1" xr:uid="{6BA9F592-8C29-46E2-B437-75A3AB23561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EC6C-A7A4-4719-8510-CB103201A2E7}">
  <dimension ref="A1:S69"/>
  <sheetViews>
    <sheetView tabSelected="1" topLeftCell="A15" workbookViewId="0">
      <selection activeCell="I44" sqref="I44"/>
    </sheetView>
  </sheetViews>
  <sheetFormatPr defaultRowHeight="13.5" x14ac:dyDescent="0.35"/>
  <cols>
    <col min="1" max="1" width="8.8125" customWidth="1"/>
    <col min="2" max="2" width="22.9375" customWidth="1"/>
    <col min="3" max="3" width="17.3125" bestFit="1" customWidth="1"/>
    <col min="4" max="4" width="10.5" bestFit="1" customWidth="1"/>
    <col min="5" max="5" width="22.5625" bestFit="1" customWidth="1"/>
    <col min="6" max="6" width="34.3125" bestFit="1" customWidth="1"/>
    <col min="7" max="7" width="22.5625" bestFit="1" customWidth="1"/>
    <col min="8" max="9" width="24" bestFit="1" customWidth="1"/>
    <col min="10" max="10" width="17.3125" bestFit="1" customWidth="1"/>
    <col min="11" max="11" width="24.25" bestFit="1" customWidth="1"/>
    <col min="16" max="16" width="19.9375" customWidth="1"/>
  </cols>
  <sheetData>
    <row r="1" spans="1:19" x14ac:dyDescent="0.35">
      <c r="B1" t="s">
        <v>70</v>
      </c>
    </row>
    <row r="2" spans="1:19" x14ac:dyDescent="0.35">
      <c r="B2" t="s">
        <v>59</v>
      </c>
    </row>
    <row r="3" spans="1:19" x14ac:dyDescent="0.35">
      <c r="B3" s="8" t="s">
        <v>105</v>
      </c>
      <c r="C3" s="8"/>
    </row>
    <row r="5" spans="1:19" s="16" customFormat="1" ht="13.9" x14ac:dyDescent="0.4">
      <c r="A5" s="15" t="s">
        <v>71</v>
      </c>
    </row>
    <row r="6" spans="1:19" x14ac:dyDescent="0.35">
      <c r="B6" t="s">
        <v>31</v>
      </c>
      <c r="C6" t="s">
        <v>16</v>
      </c>
      <c r="D6" t="s">
        <v>0</v>
      </c>
      <c r="E6" t="s">
        <v>32</v>
      </c>
      <c r="F6" t="s">
        <v>33</v>
      </c>
      <c r="G6" t="s">
        <v>34</v>
      </c>
      <c r="H6" t="s">
        <v>35</v>
      </c>
    </row>
    <row r="7" spans="1:19" x14ac:dyDescent="0.35">
      <c r="B7" t="s">
        <v>56</v>
      </c>
      <c r="E7">
        <v>10</v>
      </c>
      <c r="F7">
        <v>36</v>
      </c>
      <c r="G7">
        <v>14</v>
      </c>
      <c r="H7" s="10">
        <v>10366</v>
      </c>
    </row>
    <row r="8" spans="1:19" x14ac:dyDescent="0.35">
      <c r="B8" t="s">
        <v>55</v>
      </c>
      <c r="E8">
        <v>6</v>
      </c>
      <c r="F8">
        <v>19</v>
      </c>
      <c r="G8">
        <v>10</v>
      </c>
      <c r="H8" s="10">
        <v>4342</v>
      </c>
      <c r="J8" t="s">
        <v>17</v>
      </c>
      <c r="K8" t="s">
        <v>94</v>
      </c>
    </row>
    <row r="9" spans="1:19" x14ac:dyDescent="0.35">
      <c r="B9" t="s">
        <v>54</v>
      </c>
      <c r="E9">
        <v>5</v>
      </c>
      <c r="F9">
        <v>16</v>
      </c>
      <c r="G9">
        <v>5</v>
      </c>
      <c r="H9" s="10">
        <v>3501</v>
      </c>
      <c r="J9" t="s">
        <v>17</v>
      </c>
      <c r="K9" t="s">
        <v>96</v>
      </c>
      <c r="R9" s="4"/>
      <c r="S9" s="4"/>
    </row>
    <row r="10" spans="1:19" x14ac:dyDescent="0.35">
      <c r="B10" t="s">
        <v>36</v>
      </c>
      <c r="E10">
        <v>4</v>
      </c>
      <c r="F10">
        <v>19</v>
      </c>
      <c r="G10">
        <v>5</v>
      </c>
      <c r="H10" s="10">
        <v>3639</v>
      </c>
      <c r="J10" t="s">
        <v>17</v>
      </c>
      <c r="K10" t="s">
        <v>97</v>
      </c>
      <c r="R10" s="4"/>
      <c r="S10" s="4"/>
    </row>
    <row r="11" spans="1:19" x14ac:dyDescent="0.35">
      <c r="B11" t="s">
        <v>93</v>
      </c>
      <c r="E11">
        <v>5</v>
      </c>
      <c r="F11">
        <v>21</v>
      </c>
      <c r="G11">
        <v>7</v>
      </c>
      <c r="H11" s="10">
        <v>3207</v>
      </c>
      <c r="J11" t="s">
        <v>17</v>
      </c>
      <c r="K11" t="s">
        <v>47</v>
      </c>
      <c r="R11" s="4"/>
      <c r="S11" s="4"/>
    </row>
    <row r="12" spans="1:19" x14ac:dyDescent="0.35">
      <c r="B12" t="s">
        <v>94</v>
      </c>
      <c r="C12" t="s">
        <v>17</v>
      </c>
      <c r="D12" s="2" t="s">
        <v>6</v>
      </c>
      <c r="E12">
        <v>17</v>
      </c>
      <c r="F12">
        <v>28</v>
      </c>
      <c r="G12">
        <v>19</v>
      </c>
      <c r="H12" s="10">
        <v>8229</v>
      </c>
      <c r="J12" t="s">
        <v>18</v>
      </c>
      <c r="K12" t="s">
        <v>98</v>
      </c>
      <c r="R12" s="4"/>
      <c r="S12" s="4"/>
    </row>
    <row r="13" spans="1:19" x14ac:dyDescent="0.35">
      <c r="B13" t="s">
        <v>51</v>
      </c>
      <c r="E13">
        <v>2</v>
      </c>
      <c r="F13">
        <v>8</v>
      </c>
      <c r="G13">
        <v>5</v>
      </c>
      <c r="H13">
        <v>911</v>
      </c>
      <c r="J13" t="s">
        <v>18</v>
      </c>
      <c r="K13" t="s">
        <v>18</v>
      </c>
      <c r="R13" s="4"/>
      <c r="S13" s="4"/>
    </row>
    <row r="14" spans="1:19" x14ac:dyDescent="0.35">
      <c r="B14" t="s">
        <v>95</v>
      </c>
      <c r="E14">
        <v>13</v>
      </c>
      <c r="F14">
        <v>18</v>
      </c>
      <c r="G14">
        <v>16</v>
      </c>
      <c r="H14" s="10">
        <v>8198</v>
      </c>
      <c r="J14" t="s">
        <v>18</v>
      </c>
      <c r="K14" t="s">
        <v>99</v>
      </c>
      <c r="R14" s="4"/>
      <c r="S14" s="4"/>
    </row>
    <row r="15" spans="1:19" x14ac:dyDescent="0.35">
      <c r="B15" t="s">
        <v>49</v>
      </c>
      <c r="C15" t="s">
        <v>20</v>
      </c>
      <c r="D15" s="2" t="s">
        <v>12</v>
      </c>
      <c r="E15">
        <v>7</v>
      </c>
      <c r="F15">
        <v>12</v>
      </c>
      <c r="G15">
        <v>8</v>
      </c>
      <c r="H15" s="10">
        <v>2275</v>
      </c>
      <c r="J15" t="s">
        <v>18</v>
      </c>
      <c r="K15" t="s">
        <v>104</v>
      </c>
      <c r="R15" s="4"/>
      <c r="S15" s="4"/>
    </row>
    <row r="16" spans="1:19" x14ac:dyDescent="0.35">
      <c r="B16" t="s">
        <v>96</v>
      </c>
      <c r="C16" t="s">
        <v>17</v>
      </c>
      <c r="D16" s="2" t="s">
        <v>6</v>
      </c>
      <c r="E16">
        <v>8</v>
      </c>
      <c r="F16">
        <v>16</v>
      </c>
      <c r="G16">
        <v>8</v>
      </c>
      <c r="H16" s="10">
        <v>1891</v>
      </c>
      <c r="J16" t="s">
        <v>19</v>
      </c>
      <c r="K16" t="s">
        <v>19</v>
      </c>
      <c r="R16" s="4"/>
      <c r="S16" s="4"/>
    </row>
    <row r="17" spans="2:11" x14ac:dyDescent="0.35">
      <c r="B17" t="s">
        <v>97</v>
      </c>
      <c r="C17" t="s">
        <v>17</v>
      </c>
      <c r="D17" s="2" t="s">
        <v>6</v>
      </c>
      <c r="E17">
        <v>6</v>
      </c>
      <c r="F17">
        <v>25</v>
      </c>
      <c r="G17">
        <v>6</v>
      </c>
      <c r="H17" s="10">
        <v>4074</v>
      </c>
      <c r="J17" t="s">
        <v>20</v>
      </c>
      <c r="K17" t="s">
        <v>49</v>
      </c>
    </row>
    <row r="18" spans="2:11" x14ac:dyDescent="0.35">
      <c r="B18" t="s">
        <v>48</v>
      </c>
      <c r="E18">
        <v>7</v>
      </c>
      <c r="F18">
        <v>22</v>
      </c>
      <c r="G18">
        <v>8</v>
      </c>
      <c r="H18" s="10">
        <v>4851</v>
      </c>
      <c r="J18" t="s">
        <v>20</v>
      </c>
      <c r="K18" t="s">
        <v>100</v>
      </c>
    </row>
    <row r="19" spans="2:11" x14ac:dyDescent="0.35">
      <c r="B19" t="s">
        <v>47</v>
      </c>
      <c r="C19" t="s">
        <v>17</v>
      </c>
      <c r="D19" s="2" t="s">
        <v>6</v>
      </c>
      <c r="E19">
        <v>14</v>
      </c>
      <c r="F19">
        <v>15</v>
      </c>
      <c r="G19">
        <v>21</v>
      </c>
      <c r="H19" s="10">
        <v>3638</v>
      </c>
      <c r="J19" t="s">
        <v>20</v>
      </c>
      <c r="K19" t="s">
        <v>102</v>
      </c>
    </row>
    <row r="20" spans="2:11" x14ac:dyDescent="0.35">
      <c r="B20" t="s">
        <v>98</v>
      </c>
      <c r="C20" t="s">
        <v>18</v>
      </c>
      <c r="D20" s="2" t="s">
        <v>7</v>
      </c>
      <c r="E20">
        <v>9</v>
      </c>
      <c r="F20">
        <v>41</v>
      </c>
      <c r="G20">
        <v>9</v>
      </c>
      <c r="H20" s="10">
        <v>3799</v>
      </c>
      <c r="J20" t="s">
        <v>21</v>
      </c>
      <c r="K20" t="s">
        <v>101</v>
      </c>
    </row>
    <row r="21" spans="2:11" x14ac:dyDescent="0.35">
      <c r="B21" t="s">
        <v>18</v>
      </c>
      <c r="C21" t="s">
        <v>18</v>
      </c>
      <c r="D21" s="2" t="s">
        <v>7</v>
      </c>
      <c r="E21">
        <v>27</v>
      </c>
      <c r="F21">
        <v>38</v>
      </c>
      <c r="G21">
        <v>35</v>
      </c>
      <c r="H21" s="10">
        <v>12955</v>
      </c>
      <c r="J21" t="s">
        <v>21</v>
      </c>
      <c r="K21" t="s">
        <v>45</v>
      </c>
    </row>
    <row r="22" spans="2:11" x14ac:dyDescent="0.35">
      <c r="B22" t="s">
        <v>99</v>
      </c>
      <c r="C22" t="s">
        <v>18</v>
      </c>
      <c r="D22" s="2" t="s">
        <v>7</v>
      </c>
      <c r="E22">
        <v>6</v>
      </c>
      <c r="F22">
        <v>33</v>
      </c>
      <c r="G22">
        <v>6</v>
      </c>
      <c r="H22" s="10">
        <v>2933</v>
      </c>
      <c r="J22" t="s">
        <v>22</v>
      </c>
      <c r="K22" t="s">
        <v>37</v>
      </c>
    </row>
    <row r="23" spans="2:11" x14ac:dyDescent="0.35">
      <c r="B23" t="s">
        <v>100</v>
      </c>
      <c r="C23" t="s">
        <v>20</v>
      </c>
      <c r="D23" s="2" t="s">
        <v>12</v>
      </c>
      <c r="E23">
        <v>29</v>
      </c>
      <c r="F23">
        <v>17</v>
      </c>
      <c r="G23">
        <v>34</v>
      </c>
      <c r="H23" s="10">
        <v>7452</v>
      </c>
      <c r="J23" t="s">
        <v>26</v>
      </c>
      <c r="K23" t="s">
        <v>43</v>
      </c>
    </row>
    <row r="24" spans="2:11" x14ac:dyDescent="0.35">
      <c r="B24" t="s">
        <v>101</v>
      </c>
      <c r="C24" t="s">
        <v>21</v>
      </c>
      <c r="D24" s="2" t="s">
        <v>13</v>
      </c>
      <c r="E24">
        <v>5</v>
      </c>
      <c r="F24">
        <v>28</v>
      </c>
      <c r="G24">
        <v>6</v>
      </c>
      <c r="H24" s="10">
        <v>1866</v>
      </c>
      <c r="J24" t="s">
        <v>26</v>
      </c>
      <c r="K24" t="s">
        <v>42</v>
      </c>
    </row>
    <row r="25" spans="2:11" x14ac:dyDescent="0.35">
      <c r="B25" t="s">
        <v>45</v>
      </c>
      <c r="C25" t="s">
        <v>21</v>
      </c>
      <c r="D25" s="2" t="s">
        <v>13</v>
      </c>
      <c r="E25">
        <v>5</v>
      </c>
      <c r="F25">
        <v>15</v>
      </c>
      <c r="G25">
        <v>7</v>
      </c>
      <c r="H25" s="10">
        <v>2523</v>
      </c>
    </row>
    <row r="26" spans="2:11" x14ac:dyDescent="0.35">
      <c r="B26" t="s">
        <v>44</v>
      </c>
      <c r="C26" t="s">
        <v>19</v>
      </c>
      <c r="D26" s="2" t="s">
        <v>10</v>
      </c>
      <c r="E26">
        <v>13</v>
      </c>
      <c r="F26">
        <v>29</v>
      </c>
      <c r="G26">
        <v>13</v>
      </c>
      <c r="H26" s="10">
        <v>16128</v>
      </c>
    </row>
    <row r="27" spans="2:11" x14ac:dyDescent="0.35">
      <c r="B27" t="s">
        <v>43</v>
      </c>
      <c r="C27" t="s">
        <v>26</v>
      </c>
      <c r="D27" s="9" t="s">
        <v>27</v>
      </c>
      <c r="E27">
        <v>6</v>
      </c>
      <c r="F27">
        <v>21</v>
      </c>
      <c r="G27">
        <v>7</v>
      </c>
      <c r="H27" s="10">
        <v>1996</v>
      </c>
    </row>
    <row r="28" spans="2:11" x14ac:dyDescent="0.35">
      <c r="B28" t="s">
        <v>42</v>
      </c>
      <c r="C28" t="s">
        <v>26</v>
      </c>
      <c r="D28" s="9" t="s">
        <v>27</v>
      </c>
      <c r="E28">
        <v>12</v>
      </c>
      <c r="F28">
        <v>20</v>
      </c>
      <c r="G28">
        <v>14</v>
      </c>
      <c r="H28" s="10">
        <v>6048</v>
      </c>
    </row>
    <row r="29" spans="2:11" x14ac:dyDescent="0.35">
      <c r="B29" t="s">
        <v>37</v>
      </c>
      <c r="C29" t="s">
        <v>22</v>
      </c>
      <c r="D29" s="2" t="s">
        <v>14</v>
      </c>
      <c r="E29">
        <v>14</v>
      </c>
      <c r="F29">
        <v>15</v>
      </c>
      <c r="G29">
        <v>15</v>
      </c>
      <c r="H29" s="10">
        <v>1893</v>
      </c>
    </row>
    <row r="30" spans="2:11" x14ac:dyDescent="0.35">
      <c r="B30" t="s">
        <v>102</v>
      </c>
      <c r="C30" t="s">
        <v>20</v>
      </c>
      <c r="D30" s="2" t="s">
        <v>12</v>
      </c>
      <c r="E30">
        <v>31</v>
      </c>
      <c r="F30">
        <v>37</v>
      </c>
      <c r="G30">
        <v>34</v>
      </c>
      <c r="H30" s="10">
        <v>21373</v>
      </c>
    </row>
    <row r="31" spans="2:11" x14ac:dyDescent="0.35">
      <c r="B31" t="s">
        <v>103</v>
      </c>
      <c r="E31">
        <v>4</v>
      </c>
      <c r="F31">
        <v>16</v>
      </c>
      <c r="G31">
        <v>5</v>
      </c>
      <c r="H31" s="10">
        <v>2559</v>
      </c>
    </row>
    <row r="32" spans="2:11" x14ac:dyDescent="0.35">
      <c r="B32" t="s">
        <v>40</v>
      </c>
      <c r="E32">
        <v>5</v>
      </c>
      <c r="F32">
        <v>12</v>
      </c>
      <c r="G32">
        <v>8</v>
      </c>
      <c r="H32" s="10">
        <v>3586</v>
      </c>
    </row>
    <row r="33" spans="1:11" x14ac:dyDescent="0.35">
      <c r="B33" t="s">
        <v>38</v>
      </c>
      <c r="E33">
        <v>6</v>
      </c>
      <c r="F33">
        <v>13</v>
      </c>
      <c r="G33">
        <v>8</v>
      </c>
      <c r="H33" s="10">
        <v>3037</v>
      </c>
    </row>
    <row r="34" spans="1:11" x14ac:dyDescent="0.35">
      <c r="B34" t="s">
        <v>104</v>
      </c>
      <c r="C34" t="s">
        <v>18</v>
      </c>
      <c r="D34" s="2" t="s">
        <v>7</v>
      </c>
      <c r="E34">
        <v>8</v>
      </c>
      <c r="F34">
        <v>29</v>
      </c>
      <c r="G34">
        <v>8</v>
      </c>
      <c r="H34" s="10">
        <v>5267</v>
      </c>
    </row>
    <row r="36" spans="1:11" ht="15" x14ac:dyDescent="0.4">
      <c r="B36" s="6" t="s">
        <v>16</v>
      </c>
      <c r="C36" s="7" t="s">
        <v>0</v>
      </c>
      <c r="D36" s="6" t="s">
        <v>1</v>
      </c>
      <c r="E36" s="6" t="s">
        <v>32</v>
      </c>
      <c r="F36" s="6" t="s">
        <v>33</v>
      </c>
      <c r="G36" s="6" t="s">
        <v>34</v>
      </c>
      <c r="H36" s="6" t="s">
        <v>35</v>
      </c>
      <c r="I36" s="6" t="s">
        <v>4</v>
      </c>
      <c r="J36" s="6" t="s">
        <v>5</v>
      </c>
      <c r="K36" s="6" t="s">
        <v>58</v>
      </c>
    </row>
    <row r="37" spans="1:11" x14ac:dyDescent="0.35">
      <c r="B37" t="s">
        <v>17</v>
      </c>
      <c r="C37" s="2" t="s">
        <v>6</v>
      </c>
      <c r="D37" s="3">
        <v>250</v>
      </c>
      <c r="E37" s="3" cm="1">
        <f t="array" ref="E37">SUMPRODUCT( E$7:E$34, --ISNUMBER( MATCH( $B$7:$B$34, IF($J$8:$J$24=$B37, $K$8:$K$24), 0 ) ) )</f>
        <v>45</v>
      </c>
      <c r="F37" s="3" cm="1">
        <f t="array" ref="F37">SUMPRODUCT( F$7:F$34, --ISNUMBER( MATCH( $B$7:$B$34, IF($J$8:$J$24=$B37, $K$8:$K$24), 0 ) ) )</f>
        <v>84</v>
      </c>
      <c r="G37" s="3" cm="1">
        <f t="array" ref="G37">SUMPRODUCT( G$7:G$34, --ISNUMBER( MATCH( $B$7:$B$34, IF($J$8:$J$24=$B37, $K$8:$K$24), 0 ) ) )</f>
        <v>54</v>
      </c>
      <c r="H37" s="3" cm="1">
        <f t="array" ref="H37">SUMPRODUCT( H$7:H$34, --ISNUMBER( MATCH( $B$7:$B$34, IF($J$8:$J$24=$B37, $K$8:$K$24), 0 ) ) )</f>
        <v>17832</v>
      </c>
      <c r="I37" s="4">
        <f>G37/D37</f>
        <v>0.216</v>
      </c>
      <c r="J37" s="4">
        <f>E37/D37</f>
        <v>0.18</v>
      </c>
      <c r="K37" s="5">
        <f>H37/G37</f>
        <v>330.22222222222223</v>
      </c>
    </row>
    <row r="38" spans="1:11" x14ac:dyDescent="0.35">
      <c r="B38" t="s">
        <v>18</v>
      </c>
      <c r="C38" s="2" t="s">
        <v>7</v>
      </c>
      <c r="D38" s="3">
        <v>80</v>
      </c>
      <c r="E38" s="3" cm="1">
        <f t="array" ref="E38">SUMPRODUCT( E$7:E$34, --ISNUMBER( MATCH( $B$7:$B$34, IF($J$8:$J$24=$B38, $K$8:$K$24), 0 ) ) )</f>
        <v>50</v>
      </c>
      <c r="F38" s="3" cm="1">
        <f t="array" ref="F38">SUMPRODUCT( F$7:F$34, --ISNUMBER( MATCH( $B$7:$B$34, IF($J$8:$J$24=$B38, $K$8:$K$24), 0 ) ) )</f>
        <v>141</v>
      </c>
      <c r="G38" s="3" cm="1">
        <f t="array" ref="G38">SUMPRODUCT( G$7:G$34, --ISNUMBER( MATCH( $B$7:$B$34, IF($J$8:$J$24=$B38, $K$8:$K$24), 0 ) ) )</f>
        <v>58</v>
      </c>
      <c r="H38" s="3" cm="1">
        <f t="array" ref="H38">SUMPRODUCT( H$7:H$34, --ISNUMBER( MATCH( $B$7:$B$34, IF($J$8:$J$24=$B38, $K$8:$K$24), 0 ) ) )</f>
        <v>24954</v>
      </c>
      <c r="I38" s="4">
        <f t="shared" ref="I38:I44" si="0">G38/D38</f>
        <v>0.72499999999999998</v>
      </c>
      <c r="J38" s="4">
        <f t="shared" ref="J38:J44" si="1">E38/D38</f>
        <v>0.625</v>
      </c>
      <c r="K38" s="5">
        <f t="shared" ref="K38:K44" si="2">H38/G38</f>
        <v>430.24137931034483</v>
      </c>
    </row>
    <row r="39" spans="1:11" x14ac:dyDescent="0.35">
      <c r="B39" t="s">
        <v>19</v>
      </c>
      <c r="C39" s="2" t="s">
        <v>10</v>
      </c>
      <c r="D39" s="3">
        <v>14</v>
      </c>
      <c r="E39" s="3" cm="1">
        <f t="array" ref="E39">SUMPRODUCT( E$7:E$34, --ISNUMBER( MATCH( $B$7:$B$34, IF($J$8:$J$24=$B39, $K$8:$K$24), 0 ) ) )</f>
        <v>13</v>
      </c>
      <c r="F39" s="3" cm="1">
        <f t="array" ref="F39">SUMPRODUCT( F$7:F$34, --ISNUMBER( MATCH( $B$7:$B$34, IF($J$8:$J$24=$B39, $K$8:$K$24), 0 ) ) )</f>
        <v>29</v>
      </c>
      <c r="G39" s="3" cm="1">
        <f t="array" ref="G39">SUMPRODUCT( G$7:G$34, --ISNUMBER( MATCH( $B$7:$B$34, IF($J$8:$J$24=$B39, $K$8:$K$24), 0 ) ) )</f>
        <v>13</v>
      </c>
      <c r="H39" s="3" cm="1">
        <f t="array" ref="H39">SUMPRODUCT( H$7:H$34, --ISNUMBER( MATCH( $B$7:$B$34, IF($J$8:$J$24=$B39, $K$8:$K$24), 0 ) ) )</f>
        <v>16128</v>
      </c>
      <c r="I39" s="4">
        <f t="shared" si="0"/>
        <v>0.9285714285714286</v>
      </c>
      <c r="J39" s="4">
        <f t="shared" si="1"/>
        <v>0.9285714285714286</v>
      </c>
      <c r="K39" s="5">
        <f t="shared" si="2"/>
        <v>1240.6153846153845</v>
      </c>
    </row>
    <row r="40" spans="1:11" x14ac:dyDescent="0.35">
      <c r="B40" t="s">
        <v>20</v>
      </c>
      <c r="C40" s="2" t="s">
        <v>12</v>
      </c>
      <c r="D40" s="3">
        <v>83</v>
      </c>
      <c r="E40" s="3" cm="1">
        <f t="array" ref="E40">SUMPRODUCT( E$7:E$34, --ISNUMBER( MATCH( $B$7:$B$34, IF($J$8:$J$24=$B40, $K$8:$K$24), 0 ) ) )</f>
        <v>67</v>
      </c>
      <c r="F40" s="3" cm="1">
        <f t="array" ref="F40">SUMPRODUCT( F$7:F$34, --ISNUMBER( MATCH( $B$7:$B$34, IF($J$8:$J$24=$B40, $K$8:$K$24), 0 ) ) )</f>
        <v>66</v>
      </c>
      <c r="G40" s="3" cm="1">
        <f t="array" ref="G40">SUMPRODUCT( G$7:G$34, --ISNUMBER( MATCH( $B$7:$B$34, IF($J$8:$J$24=$B40, $K$8:$K$24), 0 ) ) )</f>
        <v>76</v>
      </c>
      <c r="H40" s="3" cm="1">
        <f t="array" ref="H40">SUMPRODUCT( H$7:H$34, --ISNUMBER( MATCH( $B$7:$B$34, IF($J$8:$J$24=$B40, $K$8:$K$24), 0 ) ) )</f>
        <v>31100</v>
      </c>
      <c r="I40" s="4">
        <f t="shared" si="0"/>
        <v>0.91566265060240959</v>
      </c>
      <c r="J40" s="4">
        <f t="shared" si="1"/>
        <v>0.80722891566265065</v>
      </c>
      <c r="K40" s="5">
        <f t="shared" si="2"/>
        <v>409.21052631578948</v>
      </c>
    </row>
    <row r="41" spans="1:11" x14ac:dyDescent="0.35">
      <c r="B41" t="s">
        <v>21</v>
      </c>
      <c r="C41" s="2" t="s">
        <v>13</v>
      </c>
      <c r="D41" s="3">
        <v>55</v>
      </c>
      <c r="E41" s="3" cm="1">
        <f t="array" ref="E41">SUMPRODUCT( E$7:E$34, --ISNUMBER( MATCH( $B$7:$B$34, IF($J$8:$J$24=$B41, $K$8:$K$24), 0 ) ) )</f>
        <v>10</v>
      </c>
      <c r="F41" s="3" cm="1">
        <f t="array" ref="F41">SUMPRODUCT( F$7:F$34, --ISNUMBER( MATCH( $B$7:$B$34, IF($J$8:$J$24=$B41, $K$8:$K$24), 0 ) ) )</f>
        <v>43</v>
      </c>
      <c r="G41" s="3" cm="1">
        <f t="array" ref="G41">SUMPRODUCT( G$7:G$34, --ISNUMBER( MATCH( $B$7:$B$34, IF($J$8:$J$24=$B41, $K$8:$K$24), 0 ) ) )</f>
        <v>13</v>
      </c>
      <c r="H41" s="3" cm="1">
        <f t="array" ref="H41">SUMPRODUCT( H$7:H$34, --ISNUMBER( MATCH( $B$7:$B$34, IF($J$8:$J$24=$B41, $K$8:$K$24), 0 ) ) )</f>
        <v>4389</v>
      </c>
      <c r="I41" s="4">
        <f t="shared" si="0"/>
        <v>0.23636363636363636</v>
      </c>
      <c r="J41" s="4">
        <f t="shared" si="1"/>
        <v>0.18181818181818182</v>
      </c>
      <c r="K41" s="5">
        <f t="shared" si="2"/>
        <v>337.61538461538464</v>
      </c>
    </row>
    <row r="42" spans="1:11" x14ac:dyDescent="0.35">
      <c r="B42" t="s">
        <v>22</v>
      </c>
      <c r="C42" s="2" t="s">
        <v>14</v>
      </c>
      <c r="D42" s="3">
        <v>96</v>
      </c>
      <c r="E42" s="3" cm="1">
        <f t="array" ref="E42">SUMPRODUCT( E$7:E$34, --ISNUMBER( MATCH( $B$7:$B$34, IF($J$8:$J$24=$B42, $K$8:$K$24), 0 ) ) )</f>
        <v>14</v>
      </c>
      <c r="F42" s="3" cm="1">
        <f t="array" ref="F42">SUMPRODUCT( F$7:F$34, --ISNUMBER( MATCH( $B$7:$B$34, IF($J$8:$J$24=$B42, $K$8:$K$24), 0 ) ) )</f>
        <v>15</v>
      </c>
      <c r="G42" s="3" cm="1">
        <f t="array" ref="G42">SUMPRODUCT( G$7:G$34, --ISNUMBER( MATCH( $B$7:$B$34, IF($J$8:$J$24=$B42, $K$8:$K$24), 0 ) ) )</f>
        <v>15</v>
      </c>
      <c r="H42" s="3" cm="1">
        <f t="array" ref="H42">SUMPRODUCT( H$7:H$34, --ISNUMBER( MATCH( $B$7:$B$34, IF($J$8:$J$24=$B42, $K$8:$K$24), 0 ) ) )</f>
        <v>1893</v>
      </c>
      <c r="I42" s="4">
        <f t="shared" si="0"/>
        <v>0.15625</v>
      </c>
      <c r="J42" s="4">
        <f t="shared" si="1"/>
        <v>0.14583333333333334</v>
      </c>
      <c r="K42" s="5">
        <f t="shared" si="2"/>
        <v>126.2</v>
      </c>
    </row>
    <row r="43" spans="1:11" x14ac:dyDescent="0.35">
      <c r="B43" t="s">
        <v>26</v>
      </c>
      <c r="C43" s="9" t="s">
        <v>27</v>
      </c>
      <c r="D43" s="3">
        <v>39</v>
      </c>
      <c r="E43" s="3" cm="1">
        <f t="array" ref="E43">SUMPRODUCT( E$7:E$34, --ISNUMBER( MATCH( $B$7:$B$34, IF($J$8:$J$24=$B43, $K$8:$K$24), 0 ) ) )</f>
        <v>18</v>
      </c>
      <c r="F43" s="3" cm="1">
        <f t="array" ref="F43">SUMPRODUCT( F$7:F$34, --ISNUMBER( MATCH( $B$7:$B$34, IF($J$8:$J$24=$B43, $K$8:$K$24), 0 ) ) )</f>
        <v>41</v>
      </c>
      <c r="G43" s="3" cm="1">
        <f t="array" ref="G43">SUMPRODUCT( G$7:G$34, --ISNUMBER( MATCH( $B$7:$B$34, IF($J$8:$J$24=$B43, $K$8:$K$24), 0 ) ) )</f>
        <v>21</v>
      </c>
      <c r="H43" s="3" cm="1">
        <f t="array" ref="H43">SUMPRODUCT( H$7:H$34, --ISNUMBER( MATCH( $B$7:$B$34, IF($J$8:$J$24=$B43, $K$8:$K$24), 0 ) ) )</f>
        <v>8044</v>
      </c>
      <c r="I43" s="4">
        <f t="shared" si="0"/>
        <v>0.53846153846153844</v>
      </c>
      <c r="J43" s="4">
        <f t="shared" si="1"/>
        <v>0.46153846153846156</v>
      </c>
      <c r="K43" s="5">
        <f t="shared" si="2"/>
        <v>383.04761904761904</v>
      </c>
    </row>
    <row r="44" spans="1:11" x14ac:dyDescent="0.35">
      <c r="C44" s="2" t="s">
        <v>1</v>
      </c>
      <c r="D44" s="5">
        <f>SUM(D37:D43)</f>
        <v>617</v>
      </c>
      <c r="E44" s="3">
        <f>SUM(E37:E43)</f>
        <v>217</v>
      </c>
      <c r="F44" s="3">
        <f>SUM(F37:F43)</f>
        <v>419</v>
      </c>
      <c r="G44" s="3">
        <f>SUM(G37:G43)</f>
        <v>250</v>
      </c>
      <c r="H44" s="5">
        <f>SUM(H37:H43)</f>
        <v>104340</v>
      </c>
      <c r="I44" s="4">
        <f t="shared" si="0"/>
        <v>0.4051863857374392</v>
      </c>
      <c r="J44" s="4">
        <f t="shared" si="1"/>
        <v>0.35170178282009723</v>
      </c>
      <c r="K44" s="5">
        <f t="shared" si="2"/>
        <v>417.36</v>
      </c>
    </row>
    <row r="46" spans="1:11" s="16" customFormat="1" ht="13.9" x14ac:dyDescent="0.4">
      <c r="A46" s="17" t="s">
        <v>57</v>
      </c>
    </row>
    <row r="48" spans="1:11" ht="15" x14ac:dyDescent="0.4">
      <c r="B48" s="6" t="s">
        <v>16</v>
      </c>
      <c r="C48" s="7" t="s">
        <v>0</v>
      </c>
      <c r="D48" s="6" t="s">
        <v>1</v>
      </c>
      <c r="E48" s="6" t="s">
        <v>34</v>
      </c>
      <c r="F48" s="6" t="s">
        <v>32</v>
      </c>
      <c r="G48" s="6" t="s">
        <v>4</v>
      </c>
      <c r="H48" s="6" t="s">
        <v>5</v>
      </c>
      <c r="I48" s="6" t="s">
        <v>35</v>
      </c>
      <c r="J48" s="6"/>
      <c r="K48" s="6" t="s">
        <v>58</v>
      </c>
    </row>
    <row r="49" spans="2:11" x14ac:dyDescent="0.35">
      <c r="B49" t="s">
        <v>17</v>
      </c>
      <c r="C49" s="2" t="s">
        <v>6</v>
      </c>
      <c r="D49" s="3">
        <v>250</v>
      </c>
      <c r="E49" s="3">
        <f>SUM(G67,G69)</f>
        <v>19</v>
      </c>
      <c r="F49" s="3">
        <f>SUM(E67,E69)</f>
        <v>13</v>
      </c>
      <c r="G49" s="4">
        <f t="shared" ref="G49:G56" si="3">E49/D49</f>
        <v>7.5999999999999998E-2</v>
      </c>
      <c r="H49" s="4">
        <f t="shared" ref="H49:H56" si="4">F49/D49</f>
        <v>5.1999999999999998E-2</v>
      </c>
      <c r="I49" s="3">
        <f>SUM(H67,H69)</f>
        <v>3866</v>
      </c>
      <c r="J49" s="3"/>
      <c r="K49" s="5">
        <f>I49/F49</f>
        <v>297.38461538461536</v>
      </c>
    </row>
    <row r="50" spans="2:11" x14ac:dyDescent="0.35">
      <c r="B50" t="s">
        <v>18</v>
      </c>
      <c r="C50" s="2" t="s">
        <v>7</v>
      </c>
      <c r="D50" s="3">
        <v>80</v>
      </c>
      <c r="E50" s="3">
        <f>G66</f>
        <v>10</v>
      </c>
      <c r="F50" s="3">
        <f>E66</f>
        <v>4</v>
      </c>
      <c r="G50" s="4">
        <f t="shared" si="3"/>
        <v>0.125</v>
      </c>
      <c r="H50" s="4">
        <f t="shared" si="4"/>
        <v>0.05</v>
      </c>
      <c r="I50" s="3">
        <f>H66</f>
        <v>2746</v>
      </c>
      <c r="J50" s="3"/>
      <c r="K50" s="5">
        <f t="shared" ref="K50:K56" si="5">I50/F50</f>
        <v>686.5</v>
      </c>
    </row>
    <row r="51" spans="2:11" x14ac:dyDescent="0.35">
      <c r="B51" t="s">
        <v>19</v>
      </c>
      <c r="C51" s="2" t="s">
        <v>10</v>
      </c>
      <c r="D51" s="3">
        <v>14</v>
      </c>
      <c r="E51" s="3">
        <f>G63</f>
        <v>13</v>
      </c>
      <c r="F51" s="3">
        <f>E63</f>
        <v>12</v>
      </c>
      <c r="G51" s="4">
        <f t="shared" si="3"/>
        <v>0.9285714285714286</v>
      </c>
      <c r="H51" s="4">
        <f t="shared" si="4"/>
        <v>0.8571428571428571</v>
      </c>
      <c r="I51" s="3">
        <f>H63</f>
        <v>11282</v>
      </c>
      <c r="J51" s="3"/>
      <c r="K51" s="5">
        <f t="shared" si="5"/>
        <v>940.16666666666663</v>
      </c>
    </row>
    <row r="52" spans="2:11" x14ac:dyDescent="0.35">
      <c r="B52" t="s">
        <v>20</v>
      </c>
      <c r="C52" s="2" t="s">
        <v>12</v>
      </c>
      <c r="D52" s="3">
        <v>83</v>
      </c>
      <c r="E52" s="3">
        <f>SUM(G65,G60,G68)</f>
        <v>46</v>
      </c>
      <c r="F52" s="3">
        <f>SUM(E60,E65,E68)</f>
        <v>38</v>
      </c>
      <c r="G52" s="4">
        <f t="shared" si="3"/>
        <v>0.55421686746987953</v>
      </c>
      <c r="H52" s="4">
        <f t="shared" si="4"/>
        <v>0.45783132530120479</v>
      </c>
      <c r="I52" s="3">
        <f>SUM(H60,H65,H68)</f>
        <v>10640</v>
      </c>
      <c r="J52" s="3"/>
      <c r="K52" s="5">
        <f t="shared" si="5"/>
        <v>280</v>
      </c>
    </row>
    <row r="53" spans="2:11" x14ac:dyDescent="0.35">
      <c r="B53" t="s">
        <v>21</v>
      </c>
      <c r="C53" s="2" t="s">
        <v>13</v>
      </c>
      <c r="D53" s="3">
        <v>55</v>
      </c>
      <c r="E53" s="3">
        <f>G64</f>
        <v>5</v>
      </c>
      <c r="F53" s="3">
        <f>E62</f>
        <v>3</v>
      </c>
      <c r="G53" s="4">
        <f t="shared" si="3"/>
        <v>9.0909090909090912E-2</v>
      </c>
      <c r="H53" s="4">
        <f t="shared" si="4"/>
        <v>5.4545454545454543E-2</v>
      </c>
      <c r="I53" s="3">
        <f>H62</f>
        <v>944</v>
      </c>
      <c r="J53" s="3"/>
      <c r="K53" s="5">
        <f t="shared" si="5"/>
        <v>314.66666666666669</v>
      </c>
    </row>
    <row r="54" spans="2:11" x14ac:dyDescent="0.35">
      <c r="B54" t="s">
        <v>22</v>
      </c>
      <c r="C54" s="2" t="s">
        <v>14</v>
      </c>
      <c r="D54" s="3">
        <v>96</v>
      </c>
      <c r="E54" s="3">
        <f>G59</f>
        <v>6</v>
      </c>
      <c r="F54" s="3">
        <f>E59</f>
        <v>6</v>
      </c>
      <c r="G54" s="4">
        <f t="shared" si="3"/>
        <v>6.25E-2</v>
      </c>
      <c r="H54" s="4">
        <f t="shared" si="4"/>
        <v>6.25E-2</v>
      </c>
      <c r="I54" s="3">
        <f>H59</f>
        <v>748</v>
      </c>
      <c r="J54" s="3"/>
      <c r="K54" s="5">
        <f t="shared" si="5"/>
        <v>124.66666666666667</v>
      </c>
    </row>
    <row r="55" spans="2:11" x14ac:dyDescent="0.35">
      <c r="B55" t="s">
        <v>26</v>
      </c>
      <c r="C55" s="9" t="s">
        <v>27</v>
      </c>
      <c r="D55" s="3">
        <v>39</v>
      </c>
      <c r="E55" s="3">
        <f>SUM(G61,G62)</f>
        <v>18</v>
      </c>
      <c r="F55" s="3">
        <f>SUM(E61,E62)</f>
        <v>14</v>
      </c>
      <c r="G55" s="4">
        <f t="shared" si="3"/>
        <v>0.46153846153846156</v>
      </c>
      <c r="H55" s="4">
        <f t="shared" si="4"/>
        <v>0.35897435897435898</v>
      </c>
      <c r="I55" s="3">
        <f>SUM(H61,H62)</f>
        <v>4090</v>
      </c>
      <c r="J55" s="3"/>
      <c r="K55" s="5">
        <f t="shared" si="5"/>
        <v>292.14285714285717</v>
      </c>
    </row>
    <row r="56" spans="2:11" x14ac:dyDescent="0.35">
      <c r="C56" s="2" t="s">
        <v>1</v>
      </c>
      <c r="D56" s="5">
        <f>SUM(D49:D55)</f>
        <v>617</v>
      </c>
      <c r="E56" s="5">
        <f t="shared" ref="E56:F56" si="6">SUM(E49:E55)</f>
        <v>117</v>
      </c>
      <c r="F56" s="5">
        <f t="shared" si="6"/>
        <v>90</v>
      </c>
      <c r="G56" s="4">
        <f t="shared" si="3"/>
        <v>0.18962722852512157</v>
      </c>
      <c r="H56" s="4">
        <f t="shared" si="4"/>
        <v>0.14586709886547811</v>
      </c>
      <c r="I56" s="5">
        <f>SUM(I49:I55)</f>
        <v>34316</v>
      </c>
      <c r="J56" s="5"/>
      <c r="K56" s="5">
        <f t="shared" si="5"/>
        <v>381.28888888888889</v>
      </c>
    </row>
    <row r="58" spans="2:11" x14ac:dyDescent="0.35">
      <c r="B58" t="s">
        <v>31</v>
      </c>
      <c r="C58" t="s">
        <v>16</v>
      </c>
      <c r="D58" t="s">
        <v>0</v>
      </c>
      <c r="E58" t="s">
        <v>32</v>
      </c>
      <c r="F58" t="s">
        <v>33</v>
      </c>
      <c r="G58" t="s">
        <v>34</v>
      </c>
      <c r="H58" t="s">
        <v>35</v>
      </c>
    </row>
    <row r="59" spans="2:11" x14ac:dyDescent="0.35">
      <c r="B59" t="s">
        <v>37</v>
      </c>
      <c r="C59" t="s">
        <v>22</v>
      </c>
      <c r="D59" s="2" t="s">
        <v>14</v>
      </c>
      <c r="E59">
        <v>6</v>
      </c>
      <c r="F59">
        <v>7</v>
      </c>
      <c r="G59">
        <v>6</v>
      </c>
      <c r="H59">
        <v>748</v>
      </c>
    </row>
    <row r="60" spans="2:11" x14ac:dyDescent="0.35">
      <c r="B60" t="s">
        <v>41</v>
      </c>
      <c r="C60" t="s">
        <v>20</v>
      </c>
      <c r="D60" s="2" t="s">
        <v>12</v>
      </c>
      <c r="E60">
        <v>18</v>
      </c>
      <c r="F60">
        <v>27</v>
      </c>
      <c r="G60">
        <v>21</v>
      </c>
      <c r="H60" s="10">
        <v>6596</v>
      </c>
    </row>
    <row r="61" spans="2:11" x14ac:dyDescent="0.35">
      <c r="B61" t="s">
        <v>42</v>
      </c>
      <c r="C61" t="s">
        <v>26</v>
      </c>
      <c r="D61" s="9" t="s">
        <v>27</v>
      </c>
      <c r="E61">
        <v>11</v>
      </c>
      <c r="F61">
        <v>19</v>
      </c>
      <c r="G61">
        <v>12</v>
      </c>
      <c r="H61" s="10">
        <v>3146</v>
      </c>
    </row>
    <row r="62" spans="2:11" x14ac:dyDescent="0.35">
      <c r="B62" t="s">
        <v>43</v>
      </c>
      <c r="C62" t="s">
        <v>26</v>
      </c>
      <c r="D62" s="9" t="s">
        <v>27</v>
      </c>
      <c r="E62">
        <v>3</v>
      </c>
      <c r="F62">
        <v>12</v>
      </c>
      <c r="G62">
        <v>6</v>
      </c>
      <c r="H62">
        <v>944</v>
      </c>
    </row>
    <row r="63" spans="2:11" x14ac:dyDescent="0.35">
      <c r="B63" t="s">
        <v>44</v>
      </c>
      <c r="C63" t="s">
        <v>19</v>
      </c>
      <c r="D63" s="2" t="s">
        <v>10</v>
      </c>
      <c r="E63">
        <v>12</v>
      </c>
      <c r="F63">
        <v>22</v>
      </c>
      <c r="G63">
        <v>13</v>
      </c>
      <c r="H63" s="10">
        <v>11282</v>
      </c>
    </row>
    <row r="64" spans="2:11" x14ac:dyDescent="0.35">
      <c r="B64" t="s">
        <v>45</v>
      </c>
      <c r="C64" t="s">
        <v>21</v>
      </c>
      <c r="D64" s="2" t="s">
        <v>13</v>
      </c>
      <c r="E64">
        <v>3</v>
      </c>
      <c r="F64">
        <v>9</v>
      </c>
      <c r="G64">
        <v>5</v>
      </c>
      <c r="H64" s="10">
        <v>1254</v>
      </c>
    </row>
    <row r="65" spans="2:8" x14ac:dyDescent="0.35">
      <c r="B65" t="s">
        <v>46</v>
      </c>
      <c r="C65" t="s">
        <v>20</v>
      </c>
      <c r="D65" s="2" t="s">
        <v>12</v>
      </c>
      <c r="E65">
        <v>15</v>
      </c>
      <c r="F65">
        <v>18</v>
      </c>
      <c r="G65">
        <v>19</v>
      </c>
      <c r="H65" s="10">
        <v>2539</v>
      </c>
    </row>
    <row r="66" spans="2:8" x14ac:dyDescent="0.35">
      <c r="B66" t="s">
        <v>18</v>
      </c>
      <c r="C66" t="s">
        <v>18</v>
      </c>
      <c r="D66" s="2" t="s">
        <v>7</v>
      </c>
      <c r="E66">
        <v>4</v>
      </c>
      <c r="F66">
        <v>18</v>
      </c>
      <c r="G66">
        <v>10</v>
      </c>
      <c r="H66" s="10">
        <v>2746</v>
      </c>
    </row>
    <row r="67" spans="2:8" x14ac:dyDescent="0.35">
      <c r="B67" t="s">
        <v>47</v>
      </c>
      <c r="C67" t="s">
        <v>17</v>
      </c>
      <c r="D67" s="2" t="s">
        <v>6</v>
      </c>
      <c r="E67">
        <v>7</v>
      </c>
      <c r="F67">
        <v>11</v>
      </c>
      <c r="G67">
        <v>9</v>
      </c>
      <c r="H67" s="10">
        <v>1081</v>
      </c>
    </row>
    <row r="68" spans="2:8" x14ac:dyDescent="0.35">
      <c r="B68" t="s">
        <v>49</v>
      </c>
      <c r="C68" t="s">
        <v>20</v>
      </c>
      <c r="D68" s="2" t="s">
        <v>12</v>
      </c>
      <c r="E68">
        <v>5</v>
      </c>
      <c r="F68">
        <v>12</v>
      </c>
      <c r="G68">
        <v>6</v>
      </c>
      <c r="H68" s="10">
        <v>1505</v>
      </c>
    </row>
    <row r="69" spans="2:8" x14ac:dyDescent="0.35">
      <c r="B69" t="s">
        <v>52</v>
      </c>
      <c r="C69" t="s">
        <v>17</v>
      </c>
      <c r="D69" s="2" t="s">
        <v>6</v>
      </c>
      <c r="E69">
        <v>6</v>
      </c>
      <c r="F69">
        <v>30</v>
      </c>
      <c r="G69">
        <v>10</v>
      </c>
      <c r="H69" s="10">
        <v>2785</v>
      </c>
    </row>
  </sheetData>
  <phoneticPr fontId="6" type="noConversion"/>
  <hyperlinks>
    <hyperlink ref="B3" r:id="rId1" xr:uid="{17D90D5D-026F-48E3-8249-A868D731F45B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CB43-4272-4B08-B2E6-86E69DA01596}">
  <dimension ref="A3:H25"/>
  <sheetViews>
    <sheetView workbookViewId="0">
      <selection activeCell="A26" sqref="A26"/>
    </sheetView>
  </sheetViews>
  <sheetFormatPr defaultRowHeight="13.5" x14ac:dyDescent="0.35"/>
  <cols>
    <col min="1" max="1" width="17.25" bestFit="1" customWidth="1"/>
    <col min="2" max="2" width="16.75" customWidth="1"/>
    <col min="3" max="3" width="26.4375" bestFit="1" customWidth="1"/>
    <col min="4" max="4" width="24.6875" bestFit="1" customWidth="1"/>
    <col min="5" max="5" width="19.5625" bestFit="1" customWidth="1"/>
    <col min="6" max="6" width="17.25" bestFit="1" customWidth="1"/>
    <col min="7" max="7" width="27.9375" bestFit="1" customWidth="1"/>
    <col min="8" max="8" width="25.4375" bestFit="1" customWidth="1"/>
  </cols>
  <sheetData>
    <row r="3" spans="1:8" x14ac:dyDescent="0.35">
      <c r="A3" s="11" t="s">
        <v>60</v>
      </c>
      <c r="B3" t="s">
        <v>65</v>
      </c>
      <c r="C3" t="s">
        <v>63</v>
      </c>
      <c r="D3" t="s">
        <v>64</v>
      </c>
      <c r="E3" t="s">
        <v>66</v>
      </c>
      <c r="F3" t="s">
        <v>67</v>
      </c>
      <c r="G3" t="s">
        <v>68</v>
      </c>
      <c r="H3" t="s">
        <v>69</v>
      </c>
    </row>
    <row r="4" spans="1:8" x14ac:dyDescent="0.35">
      <c r="A4" s="12" t="s">
        <v>20</v>
      </c>
      <c r="B4" s="5">
        <v>83</v>
      </c>
      <c r="C4" s="5">
        <v>46</v>
      </c>
      <c r="D4" s="5">
        <v>38</v>
      </c>
      <c r="E4" s="13">
        <v>0.55421686746987953</v>
      </c>
      <c r="F4" s="13">
        <v>0.45783132530120479</v>
      </c>
      <c r="G4" s="5">
        <v>10640</v>
      </c>
      <c r="H4" s="5">
        <v>280</v>
      </c>
    </row>
    <row r="5" spans="1:8" x14ac:dyDescent="0.35">
      <c r="A5" s="12" t="s">
        <v>26</v>
      </c>
      <c r="B5" s="5">
        <v>39</v>
      </c>
      <c r="C5" s="5">
        <v>18</v>
      </c>
      <c r="D5" s="5">
        <v>14</v>
      </c>
      <c r="E5" s="13">
        <v>0.46153846153846156</v>
      </c>
      <c r="F5" s="13">
        <v>0.35897435897435898</v>
      </c>
      <c r="G5" s="5">
        <v>4090</v>
      </c>
      <c r="H5" s="5">
        <v>292.14285714285717</v>
      </c>
    </row>
    <row r="6" spans="1:8" x14ac:dyDescent="0.35">
      <c r="A6" s="12" t="s">
        <v>18</v>
      </c>
      <c r="B6" s="5">
        <v>80</v>
      </c>
      <c r="C6" s="5">
        <v>10</v>
      </c>
      <c r="D6" s="5">
        <v>4</v>
      </c>
      <c r="E6" s="13">
        <v>0.125</v>
      </c>
      <c r="F6" s="13">
        <v>0.05</v>
      </c>
      <c r="G6" s="5">
        <v>2746</v>
      </c>
      <c r="H6" s="5">
        <v>686.5</v>
      </c>
    </row>
    <row r="7" spans="1:8" x14ac:dyDescent="0.35">
      <c r="A7" s="12" t="s">
        <v>21</v>
      </c>
      <c r="B7" s="5">
        <v>55</v>
      </c>
      <c r="C7" s="5">
        <v>5</v>
      </c>
      <c r="D7" s="5">
        <v>3</v>
      </c>
      <c r="E7" s="13">
        <v>9.0909090909090912E-2</v>
      </c>
      <c r="F7" s="13">
        <v>5.4545454545454543E-2</v>
      </c>
      <c r="G7" s="5">
        <v>944</v>
      </c>
      <c r="H7" s="5">
        <v>314.66666666666669</v>
      </c>
    </row>
    <row r="8" spans="1:8" x14ac:dyDescent="0.35">
      <c r="A8" s="12" t="s">
        <v>19</v>
      </c>
      <c r="B8" s="5">
        <v>14</v>
      </c>
      <c r="C8" s="5">
        <v>13</v>
      </c>
      <c r="D8" s="5">
        <v>12</v>
      </c>
      <c r="E8" s="13">
        <v>0.9285714285714286</v>
      </c>
      <c r="F8" s="13">
        <v>0.8571428571428571</v>
      </c>
      <c r="G8" s="5">
        <v>11282</v>
      </c>
      <c r="H8" s="5">
        <v>940.16666666666663</v>
      </c>
    </row>
    <row r="9" spans="1:8" x14ac:dyDescent="0.35">
      <c r="A9" s="12" t="s">
        <v>22</v>
      </c>
      <c r="B9" s="5">
        <v>96</v>
      </c>
      <c r="C9" s="5">
        <v>6</v>
      </c>
      <c r="D9" s="5">
        <v>6</v>
      </c>
      <c r="E9" s="13">
        <v>6.25E-2</v>
      </c>
      <c r="F9" s="13">
        <v>6.25E-2</v>
      </c>
      <c r="G9" s="5">
        <v>748</v>
      </c>
      <c r="H9" s="5">
        <v>124.66666666666667</v>
      </c>
    </row>
    <row r="10" spans="1:8" x14ac:dyDescent="0.35">
      <c r="A10" s="12" t="s">
        <v>17</v>
      </c>
      <c r="B10" s="5">
        <v>250</v>
      </c>
      <c r="C10" s="5">
        <v>19</v>
      </c>
      <c r="D10" s="5">
        <v>13</v>
      </c>
      <c r="E10" s="13">
        <v>7.5999999999999998E-2</v>
      </c>
      <c r="F10" s="13">
        <v>5.1999999999999998E-2</v>
      </c>
      <c r="G10" s="5">
        <v>3866</v>
      </c>
      <c r="H10" s="5">
        <v>297.38461538461536</v>
      </c>
    </row>
    <row r="11" spans="1:8" x14ac:dyDescent="0.35">
      <c r="A11" s="12" t="s">
        <v>61</v>
      </c>
      <c r="B11" s="5">
        <v>617</v>
      </c>
      <c r="C11" s="5">
        <v>117</v>
      </c>
      <c r="D11" s="5">
        <v>90</v>
      </c>
      <c r="E11" s="13">
        <v>0.18962722852512157</v>
      </c>
      <c r="F11" s="13">
        <v>0.14586709886547811</v>
      </c>
      <c r="G11" s="5">
        <v>34316</v>
      </c>
      <c r="H11" s="5">
        <v>381.28888888888889</v>
      </c>
    </row>
    <row r="12" spans="1:8" x14ac:dyDescent="0.35">
      <c r="A12" s="12" t="s">
        <v>62</v>
      </c>
      <c r="B12" s="5">
        <v>1234</v>
      </c>
      <c r="C12" s="5">
        <v>234</v>
      </c>
      <c r="D12" s="5">
        <v>180</v>
      </c>
      <c r="E12" s="13">
        <v>2.4883630770139824</v>
      </c>
      <c r="F12" s="13">
        <v>2.0388610948293535</v>
      </c>
      <c r="G12" s="5">
        <v>68632</v>
      </c>
      <c r="H12" s="5">
        <v>3316.8163614163609</v>
      </c>
    </row>
    <row r="21" spans="1:3" x14ac:dyDescent="0.35">
      <c r="B21" t="s">
        <v>106</v>
      </c>
      <c r="C21" t="s">
        <v>107</v>
      </c>
    </row>
    <row r="22" spans="1:3" x14ac:dyDescent="0.35">
      <c r="A22" t="str">
        <f>NABU!A5</f>
        <v>Feb. 26</v>
      </c>
      <c r="B22" s="18">
        <f>NABU!G28</f>
        <v>0.73905996758508918</v>
      </c>
      <c r="C22" s="18">
        <f>NABU!H28</f>
        <v>0.46515397082658022</v>
      </c>
    </row>
    <row r="23" spans="1:3" x14ac:dyDescent="0.35">
      <c r="A23" s="1" t="str">
        <f>NABU!A30</f>
        <v>Jan. 26</v>
      </c>
      <c r="B23" s="18">
        <f>NABU!G53</f>
        <v>0.68719611021069693</v>
      </c>
      <c r="C23" s="18">
        <f>NABU!H53</f>
        <v>0.25121555915721233</v>
      </c>
    </row>
    <row r="25" spans="1:3" x14ac:dyDescent="0.35">
      <c r="B25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998C-4C09-4B7C-A373-AA20D5C5008E}">
  <dimension ref="A1:G54"/>
  <sheetViews>
    <sheetView topLeftCell="A13" workbookViewId="0">
      <selection activeCell="E60" sqref="E60"/>
    </sheetView>
  </sheetViews>
  <sheetFormatPr defaultRowHeight="13.5" x14ac:dyDescent="0.35"/>
  <cols>
    <col min="1" max="1" width="20.5" bestFit="1" customWidth="1"/>
    <col min="2" max="2" width="17.25" bestFit="1" customWidth="1"/>
    <col min="3" max="3" width="10.5" bestFit="1" customWidth="1"/>
    <col min="4" max="4" width="17" bestFit="1" customWidth="1"/>
    <col min="5" max="5" width="28.75" bestFit="1" customWidth="1"/>
    <col min="6" max="6" width="18.75" bestFit="1" customWidth="1"/>
    <col min="7" max="7" width="20.0625" bestFit="1" customWidth="1"/>
  </cols>
  <sheetData>
    <row r="1" spans="1:7" x14ac:dyDescent="0.35">
      <c r="A1" t="s">
        <v>31</v>
      </c>
      <c r="B1" t="s">
        <v>16</v>
      </c>
      <c r="C1" t="s">
        <v>0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5">
      <c r="A2" t="s">
        <v>37</v>
      </c>
      <c r="B2" t="s">
        <v>22</v>
      </c>
      <c r="C2" s="2" t="s">
        <v>14</v>
      </c>
      <c r="D2">
        <v>6</v>
      </c>
      <c r="E2">
        <v>7</v>
      </c>
      <c r="F2">
        <v>6</v>
      </c>
      <c r="G2">
        <v>748</v>
      </c>
    </row>
    <row r="3" spans="1:7" x14ac:dyDescent="0.35">
      <c r="A3" t="s">
        <v>38</v>
      </c>
      <c r="D3">
        <v>3</v>
      </c>
      <c r="E3">
        <v>17</v>
      </c>
      <c r="F3">
        <v>5</v>
      </c>
      <c r="G3" s="10">
        <v>2102</v>
      </c>
    </row>
    <row r="4" spans="1:7" x14ac:dyDescent="0.35">
      <c r="A4" t="s">
        <v>39</v>
      </c>
      <c r="D4">
        <v>5</v>
      </c>
      <c r="E4">
        <v>21</v>
      </c>
      <c r="F4">
        <v>5</v>
      </c>
      <c r="G4" s="10">
        <v>4283</v>
      </c>
    </row>
    <row r="5" spans="1:7" x14ac:dyDescent="0.35">
      <c r="A5" t="s">
        <v>40</v>
      </c>
      <c r="D5">
        <v>5</v>
      </c>
      <c r="E5">
        <v>9</v>
      </c>
      <c r="F5">
        <v>8</v>
      </c>
      <c r="G5" s="10">
        <v>2754</v>
      </c>
    </row>
    <row r="6" spans="1:7" x14ac:dyDescent="0.35">
      <c r="A6" t="s">
        <v>41</v>
      </c>
      <c r="B6" t="s">
        <v>20</v>
      </c>
      <c r="C6" s="2" t="s">
        <v>12</v>
      </c>
      <c r="D6">
        <v>18</v>
      </c>
      <c r="E6">
        <v>27</v>
      </c>
      <c r="F6">
        <v>21</v>
      </c>
      <c r="G6" s="10">
        <v>6596</v>
      </c>
    </row>
    <row r="7" spans="1:7" x14ac:dyDescent="0.35">
      <c r="A7" t="s">
        <v>42</v>
      </c>
      <c r="B7" t="s">
        <v>26</v>
      </c>
      <c r="C7" s="9" t="s">
        <v>27</v>
      </c>
      <c r="D7">
        <v>11</v>
      </c>
      <c r="E7">
        <v>19</v>
      </c>
      <c r="F7">
        <v>12</v>
      </c>
      <c r="G7" s="10">
        <v>3146</v>
      </c>
    </row>
    <row r="8" spans="1:7" x14ac:dyDescent="0.35">
      <c r="A8" t="s">
        <v>43</v>
      </c>
      <c r="B8" t="s">
        <v>26</v>
      </c>
      <c r="C8" s="9" t="s">
        <v>27</v>
      </c>
      <c r="D8">
        <v>3</v>
      </c>
      <c r="E8">
        <v>12</v>
      </c>
      <c r="F8">
        <v>6</v>
      </c>
      <c r="G8">
        <v>944</v>
      </c>
    </row>
    <row r="9" spans="1:7" x14ac:dyDescent="0.35">
      <c r="A9" t="s">
        <v>44</v>
      </c>
      <c r="B9" t="s">
        <v>19</v>
      </c>
      <c r="C9" s="2" t="s">
        <v>10</v>
      </c>
      <c r="D9">
        <v>12</v>
      </c>
      <c r="E9">
        <v>22</v>
      </c>
      <c r="F9">
        <v>13</v>
      </c>
      <c r="G9" s="10">
        <v>11282</v>
      </c>
    </row>
    <row r="10" spans="1:7" x14ac:dyDescent="0.35">
      <c r="A10" t="s">
        <v>45</v>
      </c>
      <c r="B10" t="s">
        <v>21</v>
      </c>
      <c r="C10" s="2" t="s">
        <v>13</v>
      </c>
      <c r="D10">
        <v>3</v>
      </c>
      <c r="E10">
        <v>9</v>
      </c>
      <c r="F10">
        <v>5</v>
      </c>
      <c r="G10" s="10">
        <v>1254</v>
      </c>
    </row>
    <row r="11" spans="1:7" x14ac:dyDescent="0.35">
      <c r="A11" t="s">
        <v>46</v>
      </c>
      <c r="B11" t="s">
        <v>20</v>
      </c>
      <c r="C11" s="2" t="s">
        <v>12</v>
      </c>
      <c r="D11">
        <v>15</v>
      </c>
      <c r="E11">
        <v>18</v>
      </c>
      <c r="F11">
        <v>19</v>
      </c>
      <c r="G11" s="10">
        <v>2539</v>
      </c>
    </row>
    <row r="12" spans="1:7" x14ac:dyDescent="0.35">
      <c r="A12" t="s">
        <v>18</v>
      </c>
      <c r="B12" t="s">
        <v>18</v>
      </c>
      <c r="C12" s="2" t="s">
        <v>7</v>
      </c>
      <c r="D12">
        <v>4</v>
      </c>
      <c r="E12">
        <v>18</v>
      </c>
      <c r="F12">
        <v>10</v>
      </c>
      <c r="G12" s="10">
        <v>2746</v>
      </c>
    </row>
    <row r="13" spans="1:7" x14ac:dyDescent="0.35">
      <c r="A13" t="s">
        <v>47</v>
      </c>
      <c r="B13" t="s">
        <v>17</v>
      </c>
      <c r="C13" s="2" t="s">
        <v>6</v>
      </c>
      <c r="D13">
        <v>7</v>
      </c>
      <c r="E13">
        <v>11</v>
      </c>
      <c r="F13">
        <v>9</v>
      </c>
      <c r="G13" s="10">
        <v>1081</v>
      </c>
    </row>
    <row r="14" spans="1:7" x14ac:dyDescent="0.35">
      <c r="A14" t="s">
        <v>48</v>
      </c>
      <c r="D14">
        <v>7</v>
      </c>
      <c r="E14">
        <v>22</v>
      </c>
      <c r="F14">
        <v>8</v>
      </c>
      <c r="G14" s="10">
        <v>3372</v>
      </c>
    </row>
    <row r="15" spans="1:7" x14ac:dyDescent="0.35">
      <c r="A15" t="s">
        <v>49</v>
      </c>
      <c r="B15" t="s">
        <v>20</v>
      </c>
      <c r="C15" s="2" t="s">
        <v>12</v>
      </c>
      <c r="D15">
        <v>5</v>
      </c>
      <c r="E15">
        <v>12</v>
      </c>
      <c r="F15">
        <v>6</v>
      </c>
      <c r="G15" s="10">
        <v>1505</v>
      </c>
    </row>
    <row r="16" spans="1:7" x14ac:dyDescent="0.35">
      <c r="A16" t="s">
        <v>50</v>
      </c>
      <c r="D16">
        <v>9</v>
      </c>
      <c r="E16">
        <v>17</v>
      </c>
      <c r="F16">
        <v>10</v>
      </c>
      <c r="G16" s="10">
        <v>5813</v>
      </c>
    </row>
    <row r="17" spans="1:7" x14ac:dyDescent="0.35">
      <c r="A17" t="s">
        <v>51</v>
      </c>
      <c r="D17">
        <v>2</v>
      </c>
      <c r="E17">
        <v>8</v>
      </c>
      <c r="F17">
        <v>5</v>
      </c>
      <c r="G17">
        <v>578</v>
      </c>
    </row>
    <row r="18" spans="1:7" x14ac:dyDescent="0.35">
      <c r="A18" t="s">
        <v>52</v>
      </c>
      <c r="B18" t="s">
        <v>17</v>
      </c>
      <c r="C18" s="2" t="s">
        <v>6</v>
      </c>
      <c r="D18">
        <v>6</v>
      </c>
      <c r="E18">
        <v>30</v>
      </c>
      <c r="F18">
        <v>10</v>
      </c>
      <c r="G18" s="10">
        <v>2785</v>
      </c>
    </row>
    <row r="19" spans="1:7" x14ac:dyDescent="0.35">
      <c r="A19" t="s">
        <v>53</v>
      </c>
      <c r="D19">
        <v>2</v>
      </c>
      <c r="E19">
        <v>14</v>
      </c>
      <c r="F19">
        <v>6</v>
      </c>
      <c r="G19" s="10">
        <v>1938</v>
      </c>
    </row>
    <row r="20" spans="1:7" x14ac:dyDescent="0.35">
      <c r="A20" t="s">
        <v>36</v>
      </c>
      <c r="D20">
        <v>3</v>
      </c>
      <c r="E20">
        <v>17</v>
      </c>
      <c r="F20">
        <v>5</v>
      </c>
      <c r="G20" s="10">
        <v>2532</v>
      </c>
    </row>
    <row r="21" spans="1:7" x14ac:dyDescent="0.35">
      <c r="A21" t="s">
        <v>54</v>
      </c>
      <c r="D21">
        <v>5</v>
      </c>
      <c r="E21">
        <v>12</v>
      </c>
      <c r="F21">
        <v>5</v>
      </c>
      <c r="G21" s="10">
        <v>2540</v>
      </c>
    </row>
    <row r="22" spans="1:7" x14ac:dyDescent="0.35">
      <c r="A22" t="s">
        <v>55</v>
      </c>
      <c r="D22">
        <v>4</v>
      </c>
      <c r="E22">
        <v>15</v>
      </c>
      <c r="F22">
        <v>7</v>
      </c>
      <c r="G22" s="10">
        <v>2665</v>
      </c>
    </row>
    <row r="23" spans="1:7" x14ac:dyDescent="0.35">
      <c r="A23" t="s">
        <v>56</v>
      </c>
      <c r="D23">
        <v>7</v>
      </c>
      <c r="E23">
        <v>19</v>
      </c>
      <c r="F23">
        <v>12</v>
      </c>
      <c r="G23" s="10">
        <v>4692</v>
      </c>
    </row>
    <row r="26" spans="1:7" x14ac:dyDescent="0.35">
      <c r="A26" t="s">
        <v>31</v>
      </c>
      <c r="B26" t="s">
        <v>16</v>
      </c>
      <c r="C26" t="s">
        <v>0</v>
      </c>
      <c r="D26" t="s">
        <v>32</v>
      </c>
      <c r="E26" t="s">
        <v>33</v>
      </c>
      <c r="F26" t="s">
        <v>34</v>
      </c>
      <c r="G26" t="s">
        <v>35</v>
      </c>
    </row>
    <row r="27" spans="1:7" x14ac:dyDescent="0.35">
      <c r="A27" t="s">
        <v>56</v>
      </c>
      <c r="D27">
        <v>10</v>
      </c>
      <c r="E27">
        <v>36</v>
      </c>
      <c r="F27">
        <v>14</v>
      </c>
      <c r="G27" s="10">
        <v>10366</v>
      </c>
    </row>
    <row r="28" spans="1:7" x14ac:dyDescent="0.35">
      <c r="A28" t="s">
        <v>55</v>
      </c>
      <c r="D28">
        <v>6</v>
      </c>
      <c r="E28">
        <v>19</v>
      </c>
      <c r="F28">
        <v>10</v>
      </c>
      <c r="G28" s="10">
        <v>4342</v>
      </c>
    </row>
    <row r="29" spans="1:7" x14ac:dyDescent="0.35">
      <c r="A29" t="s">
        <v>54</v>
      </c>
      <c r="D29">
        <v>5</v>
      </c>
      <c r="E29">
        <v>16</v>
      </c>
      <c r="F29">
        <v>5</v>
      </c>
      <c r="G29" s="10">
        <v>3501</v>
      </c>
    </row>
    <row r="30" spans="1:7" x14ac:dyDescent="0.35">
      <c r="A30" t="s">
        <v>36</v>
      </c>
      <c r="D30">
        <v>4</v>
      </c>
      <c r="E30">
        <v>19</v>
      </c>
      <c r="F30">
        <v>5</v>
      </c>
      <c r="G30" s="10">
        <v>3639</v>
      </c>
    </row>
    <row r="31" spans="1:7" x14ac:dyDescent="0.35">
      <c r="A31" t="s">
        <v>93</v>
      </c>
      <c r="D31">
        <v>5</v>
      </c>
      <c r="E31">
        <v>21</v>
      </c>
      <c r="F31">
        <v>7</v>
      </c>
      <c r="G31" s="10">
        <v>3207</v>
      </c>
    </row>
    <row r="32" spans="1:7" x14ac:dyDescent="0.35">
      <c r="A32" t="s">
        <v>94</v>
      </c>
      <c r="B32" t="s">
        <v>17</v>
      </c>
      <c r="C32" s="2" t="s">
        <v>6</v>
      </c>
      <c r="D32">
        <v>17</v>
      </c>
      <c r="E32">
        <v>28</v>
      </c>
      <c r="F32">
        <v>19</v>
      </c>
      <c r="G32" s="10">
        <v>8229</v>
      </c>
    </row>
    <row r="33" spans="1:7" x14ac:dyDescent="0.35">
      <c r="A33" t="s">
        <v>51</v>
      </c>
      <c r="D33">
        <v>2</v>
      </c>
      <c r="E33">
        <v>8</v>
      </c>
      <c r="F33">
        <v>5</v>
      </c>
      <c r="G33">
        <v>911</v>
      </c>
    </row>
    <row r="34" spans="1:7" x14ac:dyDescent="0.35">
      <c r="A34" t="s">
        <v>95</v>
      </c>
      <c r="D34">
        <v>13</v>
      </c>
      <c r="E34">
        <v>18</v>
      </c>
      <c r="F34">
        <v>16</v>
      </c>
      <c r="G34" s="10">
        <v>8198</v>
      </c>
    </row>
    <row r="35" spans="1:7" x14ac:dyDescent="0.35">
      <c r="A35" t="s">
        <v>49</v>
      </c>
      <c r="B35" t="s">
        <v>20</v>
      </c>
      <c r="C35" s="2" t="s">
        <v>12</v>
      </c>
      <c r="D35">
        <v>7</v>
      </c>
      <c r="E35">
        <v>12</v>
      </c>
      <c r="F35">
        <v>8</v>
      </c>
      <c r="G35" s="10">
        <v>2275</v>
      </c>
    </row>
    <row r="36" spans="1:7" x14ac:dyDescent="0.35">
      <c r="A36" t="s">
        <v>96</v>
      </c>
      <c r="B36" t="s">
        <v>17</v>
      </c>
      <c r="C36" s="2" t="s">
        <v>6</v>
      </c>
      <c r="D36">
        <v>8</v>
      </c>
      <c r="E36">
        <v>16</v>
      </c>
      <c r="F36">
        <v>8</v>
      </c>
      <c r="G36" s="10">
        <v>1891</v>
      </c>
    </row>
    <row r="37" spans="1:7" x14ac:dyDescent="0.35">
      <c r="A37" t="s">
        <v>97</v>
      </c>
      <c r="B37" t="s">
        <v>17</v>
      </c>
      <c r="C37" s="2" t="s">
        <v>6</v>
      </c>
      <c r="D37">
        <v>6</v>
      </c>
      <c r="E37">
        <v>25</v>
      </c>
      <c r="F37">
        <v>6</v>
      </c>
      <c r="G37" s="10">
        <v>4074</v>
      </c>
    </row>
    <row r="38" spans="1:7" x14ac:dyDescent="0.35">
      <c r="A38" t="s">
        <v>48</v>
      </c>
      <c r="D38">
        <v>7</v>
      </c>
      <c r="E38">
        <v>22</v>
      </c>
      <c r="F38">
        <v>8</v>
      </c>
      <c r="G38" s="10">
        <v>4851</v>
      </c>
    </row>
    <row r="39" spans="1:7" x14ac:dyDescent="0.35">
      <c r="A39" t="s">
        <v>47</v>
      </c>
      <c r="B39" t="s">
        <v>17</v>
      </c>
      <c r="C39" s="2" t="s">
        <v>6</v>
      </c>
      <c r="D39">
        <v>14</v>
      </c>
      <c r="E39">
        <v>15</v>
      </c>
      <c r="F39">
        <v>21</v>
      </c>
      <c r="G39" s="10">
        <v>3638</v>
      </c>
    </row>
    <row r="40" spans="1:7" x14ac:dyDescent="0.35">
      <c r="A40" t="s">
        <v>98</v>
      </c>
      <c r="B40" t="s">
        <v>18</v>
      </c>
      <c r="C40" s="2" t="s">
        <v>7</v>
      </c>
      <c r="D40">
        <v>9</v>
      </c>
      <c r="E40">
        <v>41</v>
      </c>
      <c r="F40">
        <v>9</v>
      </c>
      <c r="G40" s="10">
        <v>3799</v>
      </c>
    </row>
    <row r="41" spans="1:7" x14ac:dyDescent="0.35">
      <c r="A41" t="s">
        <v>18</v>
      </c>
      <c r="B41" t="s">
        <v>18</v>
      </c>
      <c r="C41" s="2" t="s">
        <v>7</v>
      </c>
      <c r="D41">
        <v>27</v>
      </c>
      <c r="E41">
        <v>38</v>
      </c>
      <c r="F41">
        <v>35</v>
      </c>
      <c r="G41" s="10">
        <v>12955</v>
      </c>
    </row>
    <row r="42" spans="1:7" x14ac:dyDescent="0.35">
      <c r="A42" t="s">
        <v>99</v>
      </c>
      <c r="B42" t="s">
        <v>18</v>
      </c>
      <c r="C42" s="2" t="s">
        <v>7</v>
      </c>
      <c r="D42">
        <v>6</v>
      </c>
      <c r="E42">
        <v>33</v>
      </c>
      <c r="F42">
        <v>6</v>
      </c>
      <c r="G42" s="10">
        <v>2933</v>
      </c>
    </row>
    <row r="43" spans="1:7" x14ac:dyDescent="0.35">
      <c r="A43" t="s">
        <v>100</v>
      </c>
      <c r="B43" t="s">
        <v>20</v>
      </c>
      <c r="C43" s="2" t="s">
        <v>12</v>
      </c>
      <c r="D43">
        <v>29</v>
      </c>
      <c r="E43">
        <v>17</v>
      </c>
      <c r="F43">
        <v>34</v>
      </c>
      <c r="G43" s="10">
        <v>7452</v>
      </c>
    </row>
    <row r="44" spans="1:7" x14ac:dyDescent="0.35">
      <c r="A44" t="s">
        <v>101</v>
      </c>
      <c r="B44" t="s">
        <v>21</v>
      </c>
      <c r="C44" s="2" t="s">
        <v>13</v>
      </c>
      <c r="D44">
        <v>5</v>
      </c>
      <c r="E44">
        <v>28</v>
      </c>
      <c r="F44">
        <v>6</v>
      </c>
      <c r="G44" s="10">
        <v>1866</v>
      </c>
    </row>
    <row r="45" spans="1:7" x14ac:dyDescent="0.35">
      <c r="A45" t="s">
        <v>45</v>
      </c>
      <c r="B45" t="s">
        <v>21</v>
      </c>
      <c r="C45" s="2" t="s">
        <v>13</v>
      </c>
      <c r="D45">
        <v>5</v>
      </c>
      <c r="E45">
        <v>15</v>
      </c>
      <c r="F45">
        <v>7</v>
      </c>
      <c r="G45" s="10">
        <v>2523</v>
      </c>
    </row>
    <row r="46" spans="1:7" x14ac:dyDescent="0.35">
      <c r="A46" t="s">
        <v>44</v>
      </c>
      <c r="B46" t="s">
        <v>19</v>
      </c>
      <c r="C46" s="2" t="s">
        <v>10</v>
      </c>
      <c r="D46">
        <v>13</v>
      </c>
      <c r="E46">
        <v>29</v>
      </c>
      <c r="F46">
        <v>13</v>
      </c>
      <c r="G46" s="10">
        <v>16128</v>
      </c>
    </row>
    <row r="47" spans="1:7" x14ac:dyDescent="0.35">
      <c r="A47" t="s">
        <v>43</v>
      </c>
      <c r="B47" t="s">
        <v>26</v>
      </c>
      <c r="C47" s="9" t="s">
        <v>27</v>
      </c>
      <c r="D47">
        <v>6</v>
      </c>
      <c r="E47">
        <v>21</v>
      </c>
      <c r="F47">
        <v>7</v>
      </c>
      <c r="G47" s="10">
        <v>1996</v>
      </c>
    </row>
    <row r="48" spans="1:7" x14ac:dyDescent="0.35">
      <c r="A48" t="s">
        <v>42</v>
      </c>
      <c r="B48" t="s">
        <v>26</v>
      </c>
      <c r="C48" s="9" t="s">
        <v>27</v>
      </c>
      <c r="D48">
        <v>12</v>
      </c>
      <c r="E48">
        <v>20</v>
      </c>
      <c r="F48">
        <v>14</v>
      </c>
      <c r="G48" s="10">
        <v>6048</v>
      </c>
    </row>
    <row r="49" spans="1:7" x14ac:dyDescent="0.35">
      <c r="A49" t="s">
        <v>37</v>
      </c>
      <c r="B49" t="s">
        <v>22</v>
      </c>
      <c r="C49" s="2" t="s">
        <v>14</v>
      </c>
      <c r="D49">
        <v>14</v>
      </c>
      <c r="E49">
        <v>15</v>
      </c>
      <c r="F49">
        <v>15</v>
      </c>
      <c r="G49" s="10">
        <v>1893</v>
      </c>
    </row>
    <row r="50" spans="1:7" x14ac:dyDescent="0.35">
      <c r="A50" t="s">
        <v>102</v>
      </c>
      <c r="B50" t="s">
        <v>20</v>
      </c>
      <c r="C50" s="2" t="s">
        <v>12</v>
      </c>
      <c r="D50">
        <v>31</v>
      </c>
      <c r="E50">
        <v>37</v>
      </c>
      <c r="F50">
        <v>34</v>
      </c>
      <c r="G50" s="10">
        <v>21373</v>
      </c>
    </row>
    <row r="51" spans="1:7" x14ac:dyDescent="0.35">
      <c r="A51" t="s">
        <v>103</v>
      </c>
      <c r="D51">
        <v>4</v>
      </c>
      <c r="E51">
        <v>16</v>
      </c>
      <c r="F51">
        <v>5</v>
      </c>
      <c r="G51" s="10">
        <v>2559</v>
      </c>
    </row>
    <row r="52" spans="1:7" x14ac:dyDescent="0.35">
      <c r="A52" t="s">
        <v>40</v>
      </c>
      <c r="D52">
        <v>5</v>
      </c>
      <c r="E52">
        <v>12</v>
      </c>
      <c r="F52">
        <v>8</v>
      </c>
      <c r="G52" s="10">
        <v>3586</v>
      </c>
    </row>
    <row r="53" spans="1:7" x14ac:dyDescent="0.35">
      <c r="A53" t="s">
        <v>38</v>
      </c>
      <c r="D53">
        <v>6</v>
      </c>
      <c r="E53">
        <v>13</v>
      </c>
      <c r="F53">
        <v>8</v>
      </c>
      <c r="G53" s="10">
        <v>3037</v>
      </c>
    </row>
    <row r="54" spans="1:7" x14ac:dyDescent="0.35">
      <c r="A54" t="s">
        <v>104</v>
      </c>
      <c r="B54" t="s">
        <v>18</v>
      </c>
      <c r="C54" s="2" t="s">
        <v>7</v>
      </c>
      <c r="D54">
        <v>8</v>
      </c>
      <c r="E54">
        <v>29</v>
      </c>
      <c r="F54">
        <v>8</v>
      </c>
      <c r="G54" s="10">
        <v>5267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0240-E171-4369-92E3-4FA0D6092463}">
  <dimension ref="A1:O19"/>
  <sheetViews>
    <sheetView workbookViewId="0">
      <selection activeCell="A8" sqref="A8:O19"/>
    </sheetView>
  </sheetViews>
  <sheetFormatPr defaultRowHeight="13.5" x14ac:dyDescent="0.35"/>
  <cols>
    <col min="5" max="5" width="11.625" bestFit="1" customWidth="1"/>
  </cols>
  <sheetData>
    <row r="1" spans="1:15" x14ac:dyDescent="0.35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</row>
    <row r="2" spans="1:15" x14ac:dyDescent="0.35">
      <c r="A2" t="s">
        <v>87</v>
      </c>
      <c r="B2" t="s">
        <v>88</v>
      </c>
      <c r="C2" t="s">
        <v>89</v>
      </c>
      <c r="D2" t="s">
        <v>90</v>
      </c>
      <c r="E2" t="s">
        <v>7</v>
      </c>
      <c r="F2">
        <v>77</v>
      </c>
      <c r="G2">
        <v>71</v>
      </c>
      <c r="H2">
        <v>12</v>
      </c>
      <c r="I2">
        <v>14</v>
      </c>
      <c r="J2" s="14">
        <v>0.16900000000000001</v>
      </c>
      <c r="K2" s="14">
        <v>0.19700000000000001</v>
      </c>
      <c r="L2">
        <v>44</v>
      </c>
      <c r="M2">
        <v>28</v>
      </c>
      <c r="N2">
        <v>2075</v>
      </c>
      <c r="O2" s="14">
        <v>1.2999999999999999E-2</v>
      </c>
    </row>
    <row r="3" spans="1:15" x14ac:dyDescent="0.35">
      <c r="A3" t="s">
        <v>87</v>
      </c>
      <c r="B3" t="s">
        <v>88</v>
      </c>
      <c r="C3" t="s">
        <v>89</v>
      </c>
      <c r="D3" t="s">
        <v>90</v>
      </c>
      <c r="E3" t="s">
        <v>6</v>
      </c>
      <c r="F3">
        <v>102</v>
      </c>
      <c r="G3">
        <v>101</v>
      </c>
      <c r="H3">
        <v>18</v>
      </c>
      <c r="I3">
        <v>21</v>
      </c>
      <c r="J3" s="14">
        <v>0.17799999999999999</v>
      </c>
      <c r="K3" s="14">
        <v>0.20799999999999999</v>
      </c>
      <c r="L3">
        <v>74</v>
      </c>
      <c r="M3">
        <v>200</v>
      </c>
      <c r="N3">
        <v>542</v>
      </c>
      <c r="O3" s="14">
        <v>0.36899999999999999</v>
      </c>
    </row>
    <row r="4" spans="1:15" x14ac:dyDescent="0.35">
      <c r="A4" t="s">
        <v>87</v>
      </c>
      <c r="B4" t="s">
        <v>88</v>
      </c>
      <c r="C4" t="s">
        <v>89</v>
      </c>
      <c r="D4" t="s">
        <v>90</v>
      </c>
      <c r="E4" t="s">
        <v>11</v>
      </c>
      <c r="F4">
        <v>96</v>
      </c>
      <c r="G4">
        <v>95</v>
      </c>
      <c r="H4">
        <v>44</v>
      </c>
      <c r="I4">
        <v>45</v>
      </c>
      <c r="J4" s="14">
        <v>0.46300000000000002</v>
      </c>
      <c r="K4" s="14">
        <v>0.47399999999999998</v>
      </c>
      <c r="L4">
        <v>33</v>
      </c>
      <c r="M4">
        <v>206</v>
      </c>
      <c r="N4">
        <v>402</v>
      </c>
      <c r="O4" s="14">
        <v>0.51200000000000001</v>
      </c>
    </row>
    <row r="5" spans="1:15" x14ac:dyDescent="0.35">
      <c r="A5" t="s">
        <v>87</v>
      </c>
      <c r="B5" t="s">
        <v>88</v>
      </c>
      <c r="C5" t="s">
        <v>89</v>
      </c>
      <c r="D5" t="s">
        <v>90</v>
      </c>
      <c r="E5" t="s">
        <v>12</v>
      </c>
      <c r="F5">
        <v>84</v>
      </c>
      <c r="G5">
        <v>83</v>
      </c>
      <c r="H5">
        <v>24</v>
      </c>
      <c r="I5">
        <v>26</v>
      </c>
      <c r="J5" s="14">
        <v>0.28899999999999998</v>
      </c>
      <c r="K5" s="14">
        <v>0.313</v>
      </c>
      <c r="L5">
        <v>50</v>
      </c>
      <c r="M5">
        <v>0</v>
      </c>
      <c r="N5">
        <v>142</v>
      </c>
      <c r="O5" s="14">
        <v>0</v>
      </c>
    </row>
    <row r="8" spans="1:15" x14ac:dyDescent="0.35">
      <c r="A8" t="s">
        <v>0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</row>
    <row r="9" spans="1:15" x14ac:dyDescent="0.35">
      <c r="A9" t="s">
        <v>87</v>
      </c>
      <c r="B9" t="s">
        <v>88</v>
      </c>
      <c r="C9" t="s">
        <v>89</v>
      </c>
      <c r="D9" t="s">
        <v>90</v>
      </c>
      <c r="E9" t="s">
        <v>7</v>
      </c>
      <c r="F9">
        <v>77</v>
      </c>
      <c r="G9">
        <v>71</v>
      </c>
      <c r="H9">
        <v>12</v>
      </c>
      <c r="I9">
        <v>14</v>
      </c>
      <c r="J9" s="14">
        <v>0.16900000000000001</v>
      </c>
      <c r="K9" s="14">
        <v>0.19700000000000001</v>
      </c>
      <c r="L9">
        <v>44</v>
      </c>
      <c r="M9">
        <v>28</v>
      </c>
      <c r="N9">
        <v>2075</v>
      </c>
      <c r="O9" s="14">
        <v>1.2999999999999999E-2</v>
      </c>
    </row>
    <row r="10" spans="1:15" x14ac:dyDescent="0.35">
      <c r="A10" t="s">
        <v>87</v>
      </c>
      <c r="B10" t="s">
        <v>88</v>
      </c>
      <c r="C10" t="s">
        <v>89</v>
      </c>
      <c r="D10" t="s">
        <v>90</v>
      </c>
      <c r="E10" t="s">
        <v>6</v>
      </c>
      <c r="F10">
        <v>102</v>
      </c>
      <c r="G10">
        <v>101</v>
      </c>
      <c r="H10">
        <v>18</v>
      </c>
      <c r="I10">
        <v>21</v>
      </c>
      <c r="J10" s="14">
        <v>0.17799999999999999</v>
      </c>
      <c r="K10" s="14">
        <v>0.20799999999999999</v>
      </c>
      <c r="L10">
        <v>74</v>
      </c>
      <c r="M10">
        <v>200</v>
      </c>
      <c r="N10">
        <v>542</v>
      </c>
      <c r="O10" s="14">
        <v>0.36899999999999999</v>
      </c>
    </row>
    <row r="11" spans="1:15" x14ac:dyDescent="0.35">
      <c r="A11" t="s">
        <v>87</v>
      </c>
      <c r="B11" t="s">
        <v>88</v>
      </c>
      <c r="C11" t="s">
        <v>89</v>
      </c>
      <c r="D11" t="s">
        <v>90</v>
      </c>
      <c r="E11" t="s">
        <v>11</v>
      </c>
      <c r="F11">
        <v>96</v>
      </c>
      <c r="G11">
        <v>95</v>
      </c>
      <c r="H11">
        <v>44</v>
      </c>
      <c r="I11">
        <v>45</v>
      </c>
      <c r="J11" s="14">
        <v>0.46300000000000002</v>
      </c>
      <c r="K11" s="14">
        <v>0.47399999999999998</v>
      </c>
      <c r="L11">
        <v>33</v>
      </c>
      <c r="M11">
        <v>206</v>
      </c>
      <c r="N11">
        <v>402</v>
      </c>
      <c r="O11" s="14">
        <v>0.51200000000000001</v>
      </c>
    </row>
    <row r="12" spans="1:15" x14ac:dyDescent="0.35">
      <c r="A12" t="s">
        <v>87</v>
      </c>
      <c r="B12" t="s">
        <v>88</v>
      </c>
      <c r="C12" t="s">
        <v>89</v>
      </c>
      <c r="D12" t="s">
        <v>90</v>
      </c>
      <c r="E12" t="s">
        <v>12</v>
      </c>
      <c r="F12">
        <v>84</v>
      </c>
      <c r="G12">
        <v>83</v>
      </c>
      <c r="H12">
        <v>24</v>
      </c>
      <c r="I12">
        <v>26</v>
      </c>
      <c r="J12" s="14">
        <v>0.28899999999999998</v>
      </c>
      <c r="K12" s="14">
        <v>0.313</v>
      </c>
      <c r="L12">
        <v>50</v>
      </c>
      <c r="M12">
        <v>0</v>
      </c>
      <c r="N12">
        <v>142</v>
      </c>
      <c r="O12" s="14">
        <v>0</v>
      </c>
    </row>
    <row r="13" spans="1:15" x14ac:dyDescent="0.3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>
        <v>1</v>
      </c>
      <c r="G13" t="s">
        <v>91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s="14">
        <v>0</v>
      </c>
    </row>
    <row r="14" spans="1:15" x14ac:dyDescent="0.35">
      <c r="A14" t="s">
        <v>87</v>
      </c>
      <c r="B14" t="s">
        <v>88</v>
      </c>
      <c r="C14" t="s">
        <v>89</v>
      </c>
      <c r="D14" t="s">
        <v>90</v>
      </c>
      <c r="E14" t="s">
        <v>8</v>
      </c>
      <c r="F14">
        <v>38</v>
      </c>
      <c r="G14">
        <v>38</v>
      </c>
      <c r="H14">
        <v>12</v>
      </c>
      <c r="I14">
        <v>12</v>
      </c>
      <c r="J14" s="14">
        <v>0.316</v>
      </c>
      <c r="K14" s="14">
        <v>0.316</v>
      </c>
      <c r="L14">
        <v>16</v>
      </c>
      <c r="M14" t="s">
        <v>91</v>
      </c>
      <c r="N14" t="s">
        <v>91</v>
      </c>
      <c r="O14" s="14">
        <v>0</v>
      </c>
    </row>
    <row r="15" spans="1:15" x14ac:dyDescent="0.35">
      <c r="A15" t="s">
        <v>87</v>
      </c>
      <c r="B15" t="s">
        <v>88</v>
      </c>
      <c r="C15" t="s">
        <v>89</v>
      </c>
      <c r="D15" t="s">
        <v>90</v>
      </c>
      <c r="E15" t="s">
        <v>9</v>
      </c>
      <c r="F15">
        <v>57</v>
      </c>
      <c r="G15">
        <v>56</v>
      </c>
      <c r="H15">
        <v>9</v>
      </c>
      <c r="I15">
        <v>9</v>
      </c>
      <c r="J15" s="14">
        <v>0.161</v>
      </c>
      <c r="K15" s="14">
        <v>0.161</v>
      </c>
      <c r="L15">
        <v>47</v>
      </c>
      <c r="M15" t="s">
        <v>91</v>
      </c>
      <c r="N15" t="s">
        <v>91</v>
      </c>
      <c r="O15" s="14">
        <v>0</v>
      </c>
    </row>
    <row r="16" spans="1:15" x14ac:dyDescent="0.35">
      <c r="A16" t="s">
        <v>87</v>
      </c>
      <c r="B16" t="s">
        <v>88</v>
      </c>
      <c r="C16" t="s">
        <v>89</v>
      </c>
      <c r="D16" t="s">
        <v>90</v>
      </c>
      <c r="E16" t="s">
        <v>10</v>
      </c>
      <c r="F16">
        <v>15</v>
      </c>
      <c r="G16">
        <v>7</v>
      </c>
      <c r="H16">
        <v>1</v>
      </c>
      <c r="I16">
        <v>1</v>
      </c>
      <c r="J16" s="14">
        <v>0.14299999999999999</v>
      </c>
      <c r="K16" s="14">
        <v>0.14299999999999999</v>
      </c>
      <c r="L16">
        <v>4</v>
      </c>
      <c r="M16" t="s">
        <v>91</v>
      </c>
      <c r="N16" t="s">
        <v>91</v>
      </c>
      <c r="O16" s="14">
        <v>0</v>
      </c>
    </row>
    <row r="17" spans="1:15" x14ac:dyDescent="0.35">
      <c r="A17" t="s">
        <v>87</v>
      </c>
      <c r="B17" t="s">
        <v>88</v>
      </c>
      <c r="C17" t="s">
        <v>89</v>
      </c>
      <c r="D17" t="s">
        <v>90</v>
      </c>
      <c r="E17" t="s">
        <v>13</v>
      </c>
      <c r="F17">
        <v>19</v>
      </c>
      <c r="G17">
        <v>17</v>
      </c>
      <c r="H17">
        <v>9</v>
      </c>
      <c r="I17">
        <v>9</v>
      </c>
      <c r="J17" s="14">
        <v>0.52900000000000003</v>
      </c>
      <c r="K17" s="14">
        <v>0.52900000000000003</v>
      </c>
      <c r="L17">
        <v>4</v>
      </c>
      <c r="M17" t="s">
        <v>91</v>
      </c>
      <c r="N17" t="s">
        <v>91</v>
      </c>
      <c r="O17" s="14">
        <v>0</v>
      </c>
    </row>
    <row r="18" spans="1:15" x14ac:dyDescent="0.35">
      <c r="A18" t="s">
        <v>87</v>
      </c>
      <c r="B18" t="s">
        <v>88</v>
      </c>
      <c r="C18" t="s">
        <v>89</v>
      </c>
      <c r="D18" t="s">
        <v>90</v>
      </c>
      <c r="E18" t="s">
        <v>14</v>
      </c>
      <c r="F18">
        <v>97</v>
      </c>
      <c r="G18">
        <v>94</v>
      </c>
      <c r="H18">
        <v>9</v>
      </c>
      <c r="I18">
        <v>9</v>
      </c>
      <c r="J18" s="14">
        <v>9.6000000000000002E-2</v>
      </c>
      <c r="K18" s="14">
        <v>9.6000000000000002E-2</v>
      </c>
      <c r="L18">
        <v>77</v>
      </c>
      <c r="M18" t="s">
        <v>91</v>
      </c>
      <c r="N18" t="s">
        <v>91</v>
      </c>
      <c r="O18" s="14">
        <v>0</v>
      </c>
    </row>
    <row r="19" spans="1:15" x14ac:dyDescent="0.35">
      <c r="A19" t="s">
        <v>87</v>
      </c>
      <c r="B19" t="s">
        <v>88</v>
      </c>
      <c r="C19" t="s">
        <v>89</v>
      </c>
      <c r="D19" t="s">
        <v>90</v>
      </c>
      <c r="E19" t="s">
        <v>92</v>
      </c>
      <c r="F19">
        <v>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  <c r="O19" s="14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 Code</vt:lpstr>
      <vt:lpstr>NABU</vt:lpstr>
      <vt:lpstr>Microsoft Copilot</vt:lpstr>
      <vt:lpstr>Diagram</vt:lpstr>
      <vt:lpstr>Sheet4</vt:lpstr>
      <vt:lpstr>Raw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Li</dc:creator>
  <cp:lastModifiedBy>Chen, Li</cp:lastModifiedBy>
  <dcterms:created xsi:type="dcterms:W3CDTF">2026-01-24T01:08:35Z</dcterms:created>
  <dcterms:modified xsi:type="dcterms:W3CDTF">2026-02-28T01:38:24Z</dcterms:modified>
</cp:coreProperties>
</file>